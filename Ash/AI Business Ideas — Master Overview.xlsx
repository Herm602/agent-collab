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Overview" sheetId="1" state="visible" r:id="rId3"/>
    <sheet name="Business OS — 60 Ideas" sheetId="2" state="visible" r:id="rId4"/>
    <sheet name="Phase 1 — Financial Model" sheetId="3" state="visible" r:id="rId5"/>
    <sheet name="Business Model Canvas" sheetId="4" state="visible" r:id="rId6"/>
    <sheet name="SA Market Research" sheetId="5" state="visible" r:id="rId7"/>
    <sheet name="90-Day Action Tracker" sheetId="6" state="visible" r:id="rId8"/>
    <sheet name="System Build Prompts" sheetId="7" state="visible" r:id="rId9"/>
    <sheet name="Run Requirements" sheetId="8" state="visible" r:id="rId10"/>
  </sheets>
  <definedNames>
    <definedName function="false" hidden="true" localSheetId="1" name="_xlnm._FilterDatabase" vbProcedure="false">'Business OS — 60 Ideas'!$A$4:$N$71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<sst xmlns="http://schemas.openxmlformats.org/spreadsheetml/2006/main" count="3820" uniqueCount="1935">
  <si>
    <t xml:space="preserve">🚀  AI BUSINESS IDEAS MASTER OVERVIEW — HERMIE IHMIG</t>
  </si>
  <si>
    <t xml:space="preserve">90 Curated AI Business Ideas | 30 AI-First Ideas + 60 Business OS Modules | Ranked by Speed to Revenue</t>
  </si>
  <si>
    <t xml:space="preserve">#</t>
  </si>
  <si>
    <t xml:space="preserve">IDEA NAME</t>
  </si>
  <si>
    <t xml:space="preserve">PHASE</t>
  </si>
  <si>
    <t xml:space="preserve">CATEGORY</t>
  </si>
  <si>
    <t xml:space="preserve">TARGET MARKET</t>
  </si>
  <si>
    <t xml:space="preserve">REVENUE MODEL</t>
  </si>
  <si>
    <t xml:space="preserve">MIN PRICE (R/mo)</t>
  </si>
  <si>
    <t xml:space="preserve">MAX PRICE (R/mo)</t>
  </si>
  <si>
    <t xml:space="preserve">SETUP COST (R)</t>
  </si>
  <si>
    <t xml:space="preserve">TIME TO FIRST CLIENT</t>
  </si>
  <si>
    <t xml:space="preserve">COMPLEXITY (1-5)</t>
  </si>
  <si>
    <t xml:space="preserve">SA MARKET FIT</t>
  </si>
  <si>
    <t xml:space="preserve">YEAR 1 POTENTIAL (R)</t>
  </si>
  <si>
    <t xml:space="preserve">PRIORITY SCORE</t>
  </si>
  <si>
    <t xml:space="preserve">AI WhatsApp Customer Support</t>
  </si>
  <si>
    <t xml:space="preserve">🟢 P1</t>
  </si>
  <si>
    <t xml:space="preserve">Automation</t>
  </si>
  <si>
    <t xml:space="preserve">Salons/Clinics/Dealers</t>
  </si>
  <si>
    <t xml:space="preserve">Monthly Retainer</t>
  </si>
  <si>
    <t xml:space="preserve">7–14 days</t>
  </si>
  <si>
    <t xml:space="preserve">⭐⭐⭐⭐⭐</t>
  </si>
  <si>
    <t xml:space="preserve">AI Lead Qualification Bot</t>
  </si>
  <si>
    <t xml:space="preserve">Lead Gen</t>
  </si>
  <si>
    <t xml:space="preserve">Real Estate Agents</t>
  </si>
  <si>
    <t xml:space="preserve">Per Lead (R50–200)</t>
  </si>
  <si>
    <t xml:space="preserve">AI Booking Automation</t>
  </si>
  <si>
    <t xml:space="preserve">Barbers/Dentists/Gyms</t>
  </si>
  <si>
    <t xml:space="preserve">Setup + Monthly</t>
  </si>
  <si>
    <t xml:space="preserve">Niche Micro-SaaS</t>
  </si>
  <si>
    <t xml:space="preserve">SaaS</t>
  </si>
  <si>
    <t xml:space="preserve">Tutors/Gyms/Churches</t>
  </si>
  <si>
    <t xml:space="preserve">Subscription</t>
  </si>
  <si>
    <t xml:space="preserve">30–60 days</t>
  </si>
  <si>
    <t xml:space="preserve">⭐⭐⭐⭐</t>
  </si>
  <si>
    <t xml:space="preserve">Outcome-Based AI Service</t>
  </si>
  <si>
    <t xml:space="preserve">Agency</t>
  </si>
  <si>
    <t xml:space="preserve">Any SME</t>
  </si>
  <si>
    <t xml:space="preserve">Per Result</t>
  </si>
  <si>
    <t xml:space="preserve">14–21 days</t>
  </si>
  <si>
    <t xml:space="preserve">AI for Accountants</t>
  </si>
  <si>
    <t xml:space="preserve">Small Accounting Firms</t>
  </si>
  <si>
    <t xml:space="preserve">14–30 days</t>
  </si>
  <si>
    <t xml:space="preserve">AI for Real Estate Agents</t>
  </si>
  <si>
    <t xml:space="preserve">Estate Agents SA</t>
  </si>
  <si>
    <t xml:space="preserve">Monthly Sub</t>
  </si>
  <si>
    <t xml:space="preserve">AI Social Media Content Tool</t>
  </si>
  <si>
    <t xml:space="preserve">Content</t>
  </si>
  <si>
    <t xml:space="preserve">Small Businesses SA</t>
  </si>
  <si>
    <t xml:space="preserve">AI Cold Outreach Agency</t>
  </si>
  <si>
    <t xml:space="preserve">B2B Companies</t>
  </si>
  <si>
    <t xml:space="preserve">Per Meeting Booked</t>
  </si>
  <si>
    <t xml:space="preserve">AI Data Entry / Admin Replace</t>
  </si>
  <si>
    <t xml:space="preserve">Logistics/Offices</t>
  </si>
  <si>
    <t xml:space="preserve">21–30 days</t>
  </si>
  <si>
    <t xml:space="preserve">Vertical AI Company</t>
  </si>
  <si>
    <t xml:space="preserve">🟡 P2</t>
  </si>
  <si>
    <t xml:space="preserve">Deep Vertical</t>
  </si>
  <si>
    <t xml:space="preserve">Single Niche Industry</t>
  </si>
  <si>
    <t xml:space="preserve">60–90 days</t>
  </si>
  <si>
    <t xml:space="preserve">AI Agent Workforce</t>
  </si>
  <si>
    <t xml:space="preserve">Enterprise</t>
  </si>
  <si>
    <t xml:space="preserve">Mid-size Companies</t>
  </si>
  <si>
    <t xml:space="preserve">⭐⭐⭐</t>
  </si>
  <si>
    <t xml:space="preserve">AI Hiring AI (Agents→Agents)</t>
  </si>
  <si>
    <t xml:space="preserve">Platform</t>
  </si>
  <si>
    <t xml:space="preserve">Startups</t>
  </si>
  <si>
    <t xml:space="preserve">Consulting+Sub</t>
  </si>
  <si>
    <t xml:space="preserve">SaaS→Outcome Conversion Agency</t>
  </si>
  <si>
    <t xml:space="preserve">Consulting</t>
  </si>
  <si>
    <t xml:space="preserve">SaaS Companies</t>
  </si>
  <si>
    <t xml:space="preserve">Consulting+RevShare</t>
  </si>
  <si>
    <t xml:space="preserve">AI Security for Businesses</t>
  </si>
  <si>
    <t xml:space="preserve">Cybersecurity</t>
  </si>
  <si>
    <t xml:space="preserve">SME &amp; Enterprise</t>
  </si>
  <si>
    <t xml:space="preserve">Audit+Retainer</t>
  </si>
  <si>
    <t xml:space="preserve">AI Insights / Kill Dashboards</t>
  </si>
  <si>
    <t xml:space="preserve">Analytics SaaS</t>
  </si>
  <si>
    <t xml:space="preserve">Mid Biz Analytics</t>
  </si>
  <si>
    <t xml:space="preserve">90–120 days</t>
  </si>
  <si>
    <t xml:space="preserve">AI CRM Replacement</t>
  </si>
  <si>
    <t xml:space="preserve">SME Sales Teams</t>
  </si>
  <si>
    <t xml:space="preserve">90–180 days</t>
  </si>
  <si>
    <t xml:space="preserve">AI Template Generator</t>
  </si>
  <si>
    <t xml:space="preserve">SaaS/Content</t>
  </si>
  <si>
    <t xml:space="preserve">Marketers/Agencies</t>
  </si>
  <si>
    <t xml:space="preserve">Glassdoor for AI Agents</t>
  </si>
  <si>
    <t xml:space="preserve">🔵 P3</t>
  </si>
  <si>
    <t xml:space="preserve">Marketplace</t>
  </si>
  <si>
    <t xml:space="preserve">AI Users/Developers</t>
  </si>
  <si>
    <t xml:space="preserve">Listings+Commissions</t>
  </si>
  <si>
    <t xml:space="preserve">12–24 months</t>
  </si>
  <si>
    <t xml:space="preserve">⭐⭐</t>
  </si>
  <si>
    <t xml:space="preserve">AI Agent Marketplace</t>
  </si>
  <si>
    <t xml:space="preserve">Businesses/Developers</t>
  </si>
  <si>
    <t xml:space="preserve">Commission %</t>
  </si>
  <si>
    <t xml:space="preserve">18–36 months</t>
  </si>
  <si>
    <t xml:space="preserve">AI Agent Social Network</t>
  </si>
  <si>
    <t xml:space="preserve">AI Developers/Users</t>
  </si>
  <si>
    <t xml:space="preserve">Sub+Enterprise</t>
  </si>
  <si>
    <t xml:space="preserve">24–48 months</t>
  </si>
  <si>
    <t xml:space="preserve">⭐</t>
  </si>
  <si>
    <t xml:space="preserve">Fully Autonomous Biz Platform</t>
  </si>
  <si>
    <t xml:space="preserve">Entrepreneurs</t>
  </si>
  <si>
    <t xml:space="preserve">SaaS+Rev Share</t>
  </si>
  <si>
    <t xml:space="preserve">AI Business Incubator</t>
  </si>
  <si>
    <t xml:space="preserve">Incubator</t>
  </si>
  <si>
    <t xml:space="preserve">Startup Founders</t>
  </si>
  <si>
    <t xml:space="preserve">Equity+Services</t>
  </si>
  <si>
    <t xml:space="preserve">Human-Made Certification Brand</t>
  </si>
  <si>
    <t xml:space="preserve">Certification</t>
  </si>
  <si>
    <t xml:space="preserve">Luxury Brands</t>
  </si>
  <si>
    <t xml:space="preserve">Licensing Fees</t>
  </si>
  <si>
    <t xml:space="preserve">12–18 months</t>
  </si>
  <si>
    <t xml:space="preserve">Experience Economy (IRL)</t>
  </si>
  <si>
    <t xml:space="preserve">Physical</t>
  </si>
  <si>
    <t xml:space="preserve">Consumers/Events</t>
  </si>
  <si>
    <t xml:space="preserve">Per Experience</t>
  </si>
  <si>
    <t xml:space="preserve">Founder-Agent Training Platform</t>
  </si>
  <si>
    <t xml:space="preserve">EdTech</t>
  </si>
  <si>
    <t xml:space="preserve">Courses+Community</t>
  </si>
  <si>
    <t xml:space="preserve">6–12 months</t>
  </si>
  <si>
    <t xml:space="preserve">Agent Permission Platform</t>
  </si>
  <si>
    <t xml:space="preserve">Enterprises</t>
  </si>
  <si>
    <t xml:space="preserve">SaaS Subscription</t>
  </si>
  <si>
    <t xml:space="preserve">AI Digital Hygiene Tool</t>
  </si>
  <si>
    <t xml:space="preserve">Security</t>
  </si>
  <si>
    <t xml:space="preserve">SME/Individuals</t>
  </si>
  <si>
    <t xml:space="preserve">AI Micro-Monopoly Builder</t>
  </si>
  <si>
    <t xml:space="preserve">Sub+Education</t>
  </si>
  <si>
    <t xml:space="preserve">Build-in-Public Platform</t>
  </si>
  <si>
    <t xml:space="preserve">Community</t>
  </si>
  <si>
    <t xml:space="preserve">AI Startups/Builders</t>
  </si>
  <si>
    <t xml:space="preserve">Memberships+Tools</t>
  </si>
  <si>
    <t xml:space="preserve">VA Matching Portal</t>
  </si>
  <si>
    <t xml:space="preserve">🟢 BOS-1</t>
  </si>
  <si>
    <t xml:space="preserve">Commission + Sub</t>
  </si>
  <si>
    <t xml:space="preserve">45–90 days</t>
  </si>
  <si>
    <t xml:space="preserve">Delegation Playbook Builder</t>
  </si>
  <si>
    <t xml:space="preserve">Founders/Managers</t>
  </si>
  <si>
    <t xml:space="preserve">30 days</t>
  </si>
  <si>
    <t xml:space="preserve">Productivity Audit Intake Tool</t>
  </si>
  <si>
    <t xml:space="preserve">Consulting/SaaS</t>
  </si>
  <si>
    <t xml:space="preserve">SME Owners</t>
  </si>
  <si>
    <t xml:space="preserve">Project + Sub</t>
  </si>
  <si>
    <t xml:space="preserve">14 days</t>
  </si>
  <si>
    <t xml:space="preserve">Energy Scorecard App</t>
  </si>
  <si>
    <t xml:space="preserve">Wellness SaaS</t>
  </si>
  <si>
    <t xml:space="preserve">Burnt-out Founders</t>
  </si>
  <si>
    <t xml:space="preserve">COO Dashboard</t>
  </si>
  <si>
    <t xml:space="preserve">Growing SMEs</t>
  </si>
  <si>
    <t xml:space="preserve">60 days</t>
  </si>
  <si>
    <t xml:space="preserve">Hire-Ready Checklist Tool</t>
  </si>
  <si>
    <t xml:space="preserve">EA Training Portal</t>
  </si>
  <si>
    <t xml:space="preserve">Admin Professionals</t>
  </si>
  <si>
    <t xml:space="preserve">Course + Sub</t>
  </si>
  <si>
    <t xml:space="preserve">Team Time Intelligence Tool</t>
  </si>
  <si>
    <t xml:space="preserve">Team Leaders</t>
  </si>
  <si>
    <t xml:space="preserve">45 days</t>
  </si>
  <si>
    <t xml:space="preserve">Freedom Score Calculator</t>
  </si>
  <si>
    <t xml:space="preserve">SaaS/Tool</t>
  </si>
  <si>
    <t xml:space="preserve">Founders</t>
  </si>
  <si>
    <t xml:space="preserve">Lead Gen / Sub</t>
  </si>
  <si>
    <t xml:space="preserve">21 days</t>
  </si>
  <si>
    <t xml:space="preserve">Offer Builder Tool</t>
  </si>
  <si>
    <t xml:space="preserve">🟡 BOS-2</t>
  </si>
  <si>
    <t xml:space="preserve">Service Businesses</t>
  </si>
  <si>
    <t xml:space="preserve">Niche Selector Wizard</t>
  </si>
  <si>
    <t xml:space="preserve">SaaS/Consulting</t>
  </si>
  <si>
    <t xml:space="preserve">Generalist Agencies</t>
  </si>
  <si>
    <t xml:space="preserve">Per Use / Sub</t>
  </si>
  <si>
    <t xml:space="preserve">Revenue Breakdown Dashboard</t>
  </si>
  <si>
    <t xml:space="preserve">Service SMEs</t>
  </si>
  <si>
    <t xml:space="preserve">Campaign Alignment Map</t>
  </si>
  <si>
    <t xml:space="preserve">Marketing SaaS</t>
  </si>
  <si>
    <t xml:space="preserve">Digital Agencies</t>
  </si>
  <si>
    <t xml:space="preserve">One-Line Offer Generator</t>
  </si>
  <si>
    <t xml:space="preserve">AI SaaS</t>
  </si>
  <si>
    <t xml:space="preserve">Marketers/Founders</t>
  </si>
  <si>
    <t xml:space="preserve">Offer Audit Tool</t>
  </si>
  <si>
    <t xml:space="preserve">Multi-offer Businesses</t>
  </si>
  <si>
    <t xml:space="preserve">Project</t>
  </si>
  <si>
    <t xml:space="preserve">Brand Positioning Canvas</t>
  </si>
  <si>
    <t xml:space="preserve">Digital Workbook</t>
  </si>
  <si>
    <t xml:space="preserve">Coaches/Personal Brands</t>
  </si>
  <si>
    <t xml:space="preserve">One-time / Sub</t>
  </si>
  <si>
    <t xml:space="preserve">Script Studio</t>
  </si>
  <si>
    <t xml:space="preserve">Sales Teams</t>
  </si>
  <si>
    <t xml:space="preserve">ICP Builder</t>
  </si>
  <si>
    <t xml:space="preserve">AI Tool</t>
  </si>
  <si>
    <t xml:space="preserve">Per Report / Sub</t>
  </si>
  <si>
    <t xml:space="preserve">Offer Validator</t>
  </si>
  <si>
    <t xml:space="preserve">Landing Page SaaS</t>
  </si>
  <si>
    <t xml:space="preserve">Channel Planner</t>
  </si>
  <si>
    <t xml:space="preserve">🟡 BOS-3</t>
  </si>
  <si>
    <t xml:space="preserve">Strategy SaaS</t>
  </si>
  <si>
    <t xml:space="preserve">Growth Teams</t>
  </si>
  <si>
    <t xml:space="preserve">Outbound Engine</t>
  </si>
  <si>
    <t xml:space="preserve">Sales SaaS</t>
  </si>
  <si>
    <t xml:space="preserve">Partner Portal</t>
  </si>
  <si>
    <t xml:space="preserve">Agencies/SMEs</t>
  </si>
  <si>
    <t xml:space="preserve">Revenue Reverse Engineer Tool</t>
  </si>
  <si>
    <t xml:space="preserve">Calculator/SaaS</t>
  </si>
  <si>
    <t xml:space="preserve">Free + Premium</t>
  </si>
  <si>
    <t xml:space="preserve">Lead Dashboard</t>
  </si>
  <si>
    <t xml:space="preserve">Pipeline Health Checker</t>
  </si>
  <si>
    <t xml:space="preserve">CRM SaaS</t>
  </si>
  <si>
    <t xml:space="preserve">Sales Managers</t>
  </si>
  <si>
    <t xml:space="preserve">Unit Economics Dashboard</t>
  </si>
  <si>
    <t xml:space="preserve">Growth Scorecard</t>
  </si>
  <si>
    <t xml:space="preserve">Marketing Teams</t>
  </si>
  <si>
    <t xml:space="preserve">Outreach Academy</t>
  </si>
  <si>
    <t xml:space="preserve">Sales Reps</t>
  </si>
  <si>
    <t xml:space="preserve">Content-to-Lead Tracker</t>
  </si>
  <si>
    <t xml:space="preserve">Content Marketers</t>
  </si>
  <si>
    <t xml:space="preserve">SOP Builder</t>
  </si>
  <si>
    <t xml:space="preserve">🟠 BOS-4</t>
  </si>
  <si>
    <t xml:space="preserve">Ops Audit Tool</t>
  </si>
  <si>
    <t xml:space="preserve">Workflow Designer</t>
  </si>
  <si>
    <t xml:space="preserve">Operations Managers</t>
  </si>
  <si>
    <t xml:space="preserve">Founder Dependency Audit</t>
  </si>
  <si>
    <t xml:space="preserve">Scaling Founders</t>
  </si>
  <si>
    <t xml:space="preserve">Per Audit</t>
  </si>
  <si>
    <t xml:space="preserve">7 days</t>
  </si>
  <si>
    <t xml:space="preserve">Onboarding Engine</t>
  </si>
  <si>
    <t xml:space="preserve">Client-Facing Businesses</t>
  </si>
  <si>
    <t xml:space="preserve">QC Checklist App</t>
  </si>
  <si>
    <t xml:space="preserve">Production/Service Teams</t>
  </si>
  <si>
    <t xml:space="preserve">ProcessHQ</t>
  </si>
  <si>
    <t xml:space="preserve">Documentation Teams</t>
  </si>
  <si>
    <t xml:space="preserve">Ops Manager Dashboard</t>
  </si>
  <si>
    <t xml:space="preserve">Business Owners</t>
  </si>
  <si>
    <t xml:space="preserve">Delivery Command Centre</t>
  </si>
  <si>
    <t xml:space="preserve">PM SaaS</t>
  </si>
  <si>
    <t xml:space="preserve">Agencies</t>
  </si>
  <si>
    <t xml:space="preserve">Done Standard Builder</t>
  </si>
  <si>
    <t xml:space="preserve">Sub + Workshop</t>
  </si>
  <si>
    <t xml:space="preserve">Decision Ladder App</t>
  </si>
  <si>
    <t xml:space="preserve">🔵 BOS-5</t>
  </si>
  <si>
    <t xml:space="preserve">Scorecard HQ</t>
  </si>
  <si>
    <t xml:space="preserve">Management Teams</t>
  </si>
  <si>
    <t xml:space="preserve">Meeting OS</t>
  </si>
  <si>
    <t xml:space="preserve">Business Teams</t>
  </si>
  <si>
    <t xml:space="preserve">Culture Hiring Tool</t>
  </si>
  <si>
    <t xml:space="preserve">HRTech</t>
  </si>
  <si>
    <t xml:space="preserve">HR Managers</t>
  </si>
  <si>
    <t xml:space="preserve">Review Engine</t>
  </si>
  <si>
    <t xml:space="preserve">People Managers</t>
  </si>
  <si>
    <t xml:space="preserve">Issue Tracker</t>
  </si>
  <si>
    <t xml:space="preserve">Management</t>
  </si>
  <si>
    <t xml:space="preserve">Leader Score App</t>
  </si>
  <si>
    <t xml:space="preserve">Execs/Managers</t>
  </si>
  <si>
    <t xml:space="preserve">Sub + Coaching</t>
  </si>
  <si>
    <t xml:space="preserve">Talent Grid Tool</t>
  </si>
  <si>
    <t xml:space="preserve">HR/Exec Teams</t>
  </si>
  <si>
    <t xml:space="preserve">Values OS</t>
  </si>
  <si>
    <t xml:space="preserve">Growing Companies</t>
  </si>
  <si>
    <t xml:space="preserve">Strategy Planner</t>
  </si>
  <si>
    <t xml:space="preserve">Founders/Leaders</t>
  </si>
  <si>
    <t xml:space="preserve">Annual Sub</t>
  </si>
  <si>
    <t xml:space="preserve">5-Year Vision Builder</t>
  </si>
  <si>
    <t xml:space="preserve">🔵 BOS-6</t>
  </si>
  <si>
    <t xml:space="preserve">A-Player Profile Builder</t>
  </si>
  <si>
    <t xml:space="preserve">HR/Founders</t>
  </si>
  <si>
    <t xml:space="preserve">Per Profile / Sub</t>
  </si>
  <si>
    <t xml:space="preserve">Culture Health Check</t>
  </si>
  <si>
    <t xml:space="preserve">Survey SaaS</t>
  </si>
  <si>
    <t xml:space="preserve">CEOs/HR</t>
  </si>
  <si>
    <t xml:space="preserve">Per Survey</t>
  </si>
  <si>
    <t xml:space="preserve">Performance PIP Builder</t>
  </si>
  <si>
    <t xml:space="preserve">Brand Story Builder</t>
  </si>
  <si>
    <t xml:space="preserve">Employer Brands</t>
  </si>
  <si>
    <t xml:space="preserve">Win Wall App</t>
  </si>
  <si>
    <t xml:space="preserve">Culture Teams</t>
  </si>
  <si>
    <t xml:space="preserve">Equity Simulator</t>
  </si>
  <si>
    <t xml:space="preserve">FinTech/SaaS</t>
  </si>
  <si>
    <t xml:space="preserve">Culture Onboarding Portal</t>
  </si>
  <si>
    <t xml:space="preserve">Per Hire / Sub</t>
  </si>
  <si>
    <t xml:space="preserve">Next Leader Tracker</t>
  </si>
  <si>
    <t xml:space="preserve">Playbook Studio</t>
  </si>
  <si>
    <t xml:space="preserve">All Businesses</t>
  </si>
  <si>
    <t xml:space="preserve">TOTALS / AVERAGES</t>
  </si>
  <si>
    <t xml:space="preserve">🏢  LEVINN BUSINESS OS — 60 IDEAS TO BUILD THE AFRICAN BUSINESS OPERATING SYSTEM</t>
  </si>
  <si>
    <t xml:space="preserve">6 Phases · 60 Buildable Tools · One Platform for African Entrepreneurs | April 2026</t>
  </si>
  <si>
    <t xml:space="preserve">🟢 BOS-1: Buy Back Time  |  🟡 BOS-2: Clarify Offer  |  🟡 BOS-3: Growth Engine  |  🟠 BOS-4: Delivery &amp; Ops  |  🔵 BOS-5: Leadership  |  🔵 BOS-6: Culture &amp; Vision</t>
  </si>
  <si>
    <t xml:space="preserve">BOS PHASE</t>
  </si>
  <si>
    <t xml:space="preserve">MIN (R/mo)</t>
  </si>
  <si>
    <t xml:space="preserve">MAX (R/mo)</t>
  </si>
  <si>
    <t xml:space="preserve">TIME TO FIRST SALE</t>
  </si>
  <si>
    <t xml:space="preserve">PRIORITY</t>
  </si>
  <si>
    <t xml:space="preserve">PHASE 1 — BUY BACK YOUR TIME</t>
  </si>
  <si>
    <t xml:space="preserve">Time Tracker Dashboard</t>
  </si>
  <si>
    <t xml:space="preserve">SME Founders</t>
  </si>
  <si>
    <t xml:space="preserve">PHASE 2 — CLARIFY YOUR OFFER &amp; STRATEGY</t>
  </si>
  <si>
    <t xml:space="preserve">PHASE 3 — BUILD A PREDICTABLE GROWTH ENGINE</t>
  </si>
  <si>
    <t xml:space="preserve">PHASE 4 — SMOOTH OUT DELIVERY &amp; OPERATIONS</t>
  </si>
  <si>
    <t xml:space="preserve">PHASE 5 — INSTALL LEADERSHIP &amp; MANAGEMENT SYSTEMS</t>
  </si>
  <si>
    <t xml:space="preserve">PHASE 6 — SCALE CULTURE &amp; VISION</t>
  </si>
  <si>
    <t xml:space="preserve">PHASE 1 — FINANCIAL PROJECTIONS (12 MONTHS)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</si>
  <si>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</si>
  <si>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</si>
  <si>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</si>
  <si>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</si>
  <si>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</si>
  <si>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</si>
  <si>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</si>
  <si>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</si>
  <si>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</si>
  <si>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</si>
  <si>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</si>
  <si>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</si>
  <si>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TOTAL</t>
  </si>
  <si>
    <t xml:space="preserve">AI WhatsApp Support — Clients</t>
  </si>
  <si>
    <t xml:space="preserve">AI WhatsApp Support — Revenue (R)</t>
  </si>
  <si>
    <t xml:space="preserve">Lead Qual Bot — Clients</t>
  </si>
  <si>
    <t xml:space="preserve">Lead Qual Bot — Revenue (R)</t>
  </si>
  <si>
    <t xml:space="preserve">AI Booking Automation — Clients</t>
  </si>
  <si>
    <t xml:space="preserve">AI Booking Automation — Revenue (R)</t>
  </si>
  <si>
    <t xml:space="preserve">Niche Micro-SaaS — Users</t>
  </si>
  <si>
    <t xml:space="preserve">Niche Micro-SaaS — Revenue (R)</t>
  </si>
  <si>
    <t xml:space="preserve">Outcome-Based Service — Clients</t>
  </si>
  <si>
    <t xml:space="preserve">Outcome-Based Service — Revenue (R)</t>
  </si>
  <si>
    <t xml:space="preserve">COMBINED MONTHLY REVENUE</t>
  </si>
  <si>
    <t xml:space="preserve">BOS — 60-TOOL PORTFOLIO FINANCIAL PROJECTIONS (12 MONTHS — SELECTED KEY TOOLS)</t>
  </si>
  <si>
    <t xml:space="preserve">  BOS-1 — Buy Back Time</t>
  </si>
  <si>
    <t xml:space="preserve">Freedom Score Calculator (#40) — Clients/Users</t>
  </si>
  <si>
    <t xml:space="preserve">Freedom Score Calculator (#40) — Revenue (R)</t>
  </si>
  <si>
    <t xml:space="preserve">SOP Builder (#61) — Clients/Users</t>
  </si>
  <si>
    <t xml:space="preserve">SOP Builder (#61) — Revenue (R)</t>
  </si>
  <si>
    <t xml:space="preserve">One-Line Offer Generator (#45) — Clients/Users</t>
  </si>
  <si>
    <t xml:space="preserve">One-Line Offer Generator (#45) — Revenue (R)</t>
  </si>
  <si>
    <t xml:space="preserve">  BOS-2 — Clarify Offer</t>
  </si>
  <si>
    <t xml:space="preserve">Offer Builder Tool (#41) — Clients/Users</t>
  </si>
  <si>
    <t xml:space="preserve">Offer Builder Tool (#41) — Revenue (R)</t>
  </si>
  <si>
    <t xml:space="preserve">ICP Builder (#49) — Clients/Users</t>
  </si>
  <si>
    <t xml:space="preserve">ICP Builder (#49) — Revenue (R)</t>
  </si>
  <si>
    <t xml:space="preserve">  BOS-3 — Growth Engine</t>
  </si>
  <si>
    <t xml:space="preserve">Outbound Engine (#52) — Clients/Users</t>
  </si>
  <si>
    <t xml:space="preserve">Outbound Engine (#52) — Revenue (R)</t>
  </si>
  <si>
    <t xml:space="preserve">Revenue Reverse Engineer (#54) — Clients/Users</t>
  </si>
  <si>
    <t xml:space="preserve">Revenue Reverse Engineer (#54) — Revenue (R)</t>
  </si>
  <si>
    <t xml:space="preserve">  BOS-4 — Ops &amp; Systems</t>
  </si>
  <si>
    <t xml:space="preserve">Founder Dependency Audit (#64) — Clients/Users</t>
  </si>
  <si>
    <t xml:space="preserve">Founder Dependency Audit (#64) — Revenue (R)</t>
  </si>
  <si>
    <t xml:space="preserve">Onboarding Engine (#65) — Clients/Users</t>
  </si>
  <si>
    <t xml:space="preserve">Onboarding Engine (#65) — Revenue (R)</t>
  </si>
  <si>
    <t xml:space="preserve">  BOS-5 — Leadership</t>
  </si>
  <si>
    <t xml:space="preserve">Issue Tracker (#76) — Clients/Users</t>
  </si>
  <si>
    <t xml:space="preserve">Issue Tracker (#76) — Revenue (R)</t>
  </si>
  <si>
    <t xml:space="preserve">Meeting OS (#73) — Clients/Users</t>
  </si>
  <si>
    <t xml:space="preserve">Meeting OS (#73) — Revenue (R)</t>
  </si>
  <si>
    <t xml:space="preserve">  BOS-6 — Culture &amp; Vision</t>
  </si>
  <si>
    <t xml:space="preserve">Win Wall App (#86) — Clients/Users</t>
  </si>
  <si>
    <t xml:space="preserve">Win Wall App (#86) — Revenue (R)</t>
  </si>
  <si>
    <t xml:space="preserve">Strategy Planner (#80) — Clients/Users</t>
  </si>
  <si>
    <t xml:space="preserve">Strategy Planner (#80) — Revenue (R)</t>
  </si>
  <si>
    <t xml:space="preserve">COMBINED BOS PORTFOLIO MONTHLY REVENUE (R)</t>
  </si>
  <si>
    <t xml:space="preserve">BUSINESS MODEL CANVAS — ALL 30 IDEAS</t>
  </si>
  <si>
    <t xml:space="preserve">IDEA</t>
  </si>
  <si>
    <t xml:space="preserve">VALUE PROPOSITION</t>
  </si>
  <si>
    <t xml:space="preserve">CUSTOMER SEGMENT</t>
  </si>
  <si>
    <t xml:space="preserve">KEY ACTIVITIES</t>
  </si>
  <si>
    <t xml:space="preserve">REVENUE STREAMS</t>
  </si>
  <si>
    <t xml:space="preserve">COST STRUCTURE</t>
  </si>
  <si>
    <t xml:space="preserve">KEY PARTNERS</t>
  </si>
  <si>
    <t xml:space="preserve">UNFAIR ADVANTAGE</t>
  </si>
  <si>
    <t xml:space="preserve">AI WhatsApp Support</t>
  </si>
  <si>
    <t xml:space="preserve">24/7 instant replies, never miss a lead</t>
  </si>
  <si>
    <t xml:space="preserve">Salons, clinics, car dealers, restaurants</t>
  </si>
  <si>
    <t xml:space="preserve">Build bots, onboard clients, maintain flows</t>
  </si>
  <si>
    <t xml:space="preserve">Monthly retainer R500–R2000</t>
  </si>
  <si>
    <t xml:space="preserve">WhatsApp API, GPT API costs, support time</t>
  </si>
  <si>
    <t xml:space="preserve">Meta, OpenAI, Twilio</t>
  </si>
  <si>
    <t xml:space="preserve">SA market early — first mover advantage</t>
  </si>
  <si>
    <t xml:space="preserve">AI Lead Qual Bot</t>
  </si>
  <si>
    <t xml:space="preserve">Only serious buyers reach the agent</t>
  </si>
  <si>
    <t xml:space="preserve">Real estate agents, insurance brokers</t>
  </si>
  <si>
    <t xml:space="preserve">Build qualifier flows, manage leads, report</t>
  </si>
  <si>
    <t xml:space="preserve">Per qualified lead R50–R200</t>
  </si>
  <si>
    <t xml:space="preserve">GPT API, CRM integrations</t>
  </si>
  <si>
    <t xml:space="preserve">PropIQ, Private Property, AI tools</t>
  </si>
  <si>
    <t xml:space="preserve">Pay-per-result model removes risk objection</t>
  </si>
  <si>
    <t xml:space="preserve">Zero missed appointments, 24/7 booking</t>
  </si>
  <si>
    <t xml:space="preserve">Barbers, dentists, gyms, tutors</t>
  </si>
  <si>
    <t xml:space="preserve">Setup calendars, integrate WhatsApp/SMS</t>
  </si>
  <si>
    <t xml:space="preserve">Setup R1000 + monthly R300–R1000</t>
  </si>
  <si>
    <t xml:space="preserve">Calendly/Cal.com API, hosting</t>
  </si>
  <si>
    <t xml:space="preserve">Google Calendar, WhatsApp</t>
  </si>
  <si>
    <t xml:space="preserve">SA small biz desperate for automation</t>
  </si>
  <si>
    <t xml:space="preserve">Purpose-built tool for specific group</t>
  </si>
  <si>
    <t xml:space="preserve">Tutors / churches / gyms / NGOs</t>
  </si>
  <si>
    <t xml:space="preserve">Build MVP, market, iterate weekly</t>
  </si>
  <si>
    <t xml:space="preserve">Monthly sub R100–R500</t>
  </si>
  <si>
    <t xml:space="preserve">Dev time, hosting, support</t>
  </si>
  <si>
    <t xml:space="preserve">AWS/Supabase, payment gateways</t>
  </si>
  <si>
    <t xml:space="preserve">Niche = low competition, loyal users</t>
  </si>
  <si>
    <t xml:space="preserve">Outcome-Based Service</t>
  </si>
  <si>
    <t xml:space="preserve">Zero risk — pay only for results</t>
  </si>
  <si>
    <t xml:space="preserve">Any SA SME needing leads or sales</t>
  </si>
  <si>
    <t xml:space="preserve">AI outreach, lead gen, nurturing</t>
  </si>
  <si>
    <t xml:space="preserve">Per result / per lead</t>
  </si>
  <si>
    <t xml:space="preserve">AI tools, time, API costs</t>
  </si>
  <si>
    <t xml:space="preserve">LinkedIn, email tools, GPT</t>
  </si>
  <si>
    <t xml:space="preserve">No-risk offer closes faster</t>
  </si>
  <si>
    <t xml:space="preserve">Save 10+ hours/week on admin</t>
  </si>
  <si>
    <t xml:space="preserve">Small accounting firms SA</t>
  </si>
  <si>
    <t xml:space="preserve">Automate reconciliations, tax prep, reports</t>
  </si>
  <si>
    <t xml:space="preserve">Monthly retainer R1000–R5000</t>
  </si>
  <si>
    <t xml:space="preserve">GPT, accounting APIs, staff time</t>
  </si>
  <si>
    <t xml:space="preserve">Sage, Xero, SARS e-Filing</t>
  </si>
  <si>
    <t xml:space="preserve">SA accounting sector = underserved niche</t>
  </si>
  <si>
    <t xml:space="preserve">AI for Real Estate</t>
  </si>
  <si>
    <t xml:space="preserve">Faster responses, automated follow-ups</t>
  </si>
  <si>
    <t xml:space="preserve">Estate agents SA</t>
  </si>
  <si>
    <t xml:space="preserve">Build listing bots, follow-up sequences</t>
  </si>
  <si>
    <t xml:space="preserve">Monthly subscription R800–R3000</t>
  </si>
  <si>
    <t xml:space="preserve">CRM APIs, GPT, hosting</t>
  </si>
  <si>
    <t xml:space="preserve">Private Property, Property24</t>
  </si>
  <si>
    <t xml:space="preserve">Agents pay for time-saving tools</t>
  </si>
  <si>
    <t xml:space="preserve">AI Social Media Tool</t>
  </si>
  <si>
    <t xml:space="preserve">30 posts/month, done-for-you</t>
  </si>
  <si>
    <t xml:space="preserve">SA small businesses</t>
  </si>
  <si>
    <t xml:space="preserve">AI content gen, scheduling, delivery</t>
  </si>
  <si>
    <t xml:space="preserve">Monthly retainer R500–R1500</t>
  </si>
  <si>
    <t xml:space="preserve">GPT, scheduling tools (Buffer)</t>
  </si>
  <si>
    <t xml:space="preserve">Meta Business Suite, Canva</t>
  </si>
  <si>
    <t xml:space="preserve">Huge demand — most SA bizs have no content</t>
  </si>
  <si>
    <t xml:space="preserve">Warm meetings, not cold calls</t>
  </si>
  <si>
    <t xml:space="preserve">B2B companies SA</t>
  </si>
  <si>
    <t xml:space="preserve">AI email sequences, LinkedIn outreach</t>
  </si>
  <si>
    <t xml:space="preserve">Per meeting booked R500–R2000</t>
  </si>
  <si>
    <t xml:space="preserve">Email tools, Apollo, GPT</t>
  </si>
  <si>
    <t xml:space="preserve">Apollo, Lemlist, LinkedIn Sales Nav</t>
  </si>
  <si>
    <t xml:space="preserve">Scalable with AI — manual is dying</t>
  </si>
  <si>
    <t xml:space="preserve">AI Admin Replacement</t>
  </si>
  <si>
    <t xml:space="preserve">Replace 1 admin = save R15k+/month</t>
  </si>
  <si>
    <t xml:space="preserve">Logistics, offices, clinics</t>
  </si>
  <si>
    <t xml:space="preserve">Build automation workflows, RPA</t>
  </si>
  <si>
    <t xml:space="preserve">Monthly retainer R3000–R15000</t>
  </si>
  <si>
    <t xml:space="preserve">n8n, Zapier, GPT, dev time</t>
  </si>
  <si>
    <t xml:space="preserve">HR systems, ERP vendors</t>
  </si>
  <si>
    <t xml:space="preserve">ROI clear — costs less than a person</t>
  </si>
  <si>
    <t xml:space="preserve">Deep specialist AI for one industry</t>
  </si>
  <si>
    <t xml:space="preserve">Single niche (e.g. funeral homes)</t>
  </si>
  <si>
    <t xml:space="preserve">Deep workflow automation, custom build</t>
  </si>
  <si>
    <t xml:space="preserve">Premium retainer R5k–R20k</t>
  </si>
  <si>
    <t xml:space="preserve">Dev time, research, support</t>
  </si>
  <si>
    <t xml:space="preserve">Industry associations</t>
  </si>
  <si>
    <t xml:space="preserve">Deep moat — hard to replicate</t>
  </si>
  <si>
    <t xml:space="preserve">Entire AI department for hire</t>
  </si>
  <si>
    <t xml:space="preserve">Mid-size SA companies</t>
  </si>
  <si>
    <t xml:space="preserve">Deploy multi-agent systems</t>
  </si>
  <si>
    <t xml:space="preserve">Monthly retainer R10k–R50k</t>
  </si>
  <si>
    <t xml:space="preserve">Agent infrastructure, GPT</t>
  </si>
  <si>
    <t xml:space="preserve">Cloud providers, OpenAI</t>
  </si>
  <si>
    <t xml:space="preserve">Full dept for less = massive ROI</t>
  </si>
  <si>
    <t xml:space="preserve">AI Hiring AI</t>
  </si>
  <si>
    <t xml:space="preserve">Agents managing agents platforms</t>
  </si>
  <si>
    <t xml:space="preserve">Startups and scale-ups</t>
  </si>
  <si>
    <t xml:space="preserve">Build orchestration systems</t>
  </si>
  <si>
    <t xml:space="preserve">Consulting + subscription</t>
  </si>
  <si>
    <t xml:space="preserve">Dev time, cloud infra</t>
  </si>
  <si>
    <t xml:space="preserve">Autogen, CrewAI frameworks</t>
  </si>
  <si>
    <t xml:space="preserve">Cutting edge — 2 year head start</t>
  </si>
  <si>
    <t xml:space="preserve">SaaS→Outcome Agency</t>
  </si>
  <si>
    <t xml:space="preserve">Help SaaS cos get more revenue</t>
  </si>
  <si>
    <t xml:space="preserve">SaaS companies globally</t>
  </si>
  <si>
    <t xml:space="preserve">Pricing model consulting, rev share</t>
  </si>
  <si>
    <t xml:space="preserve">Consulting + rev share</t>
  </si>
  <si>
    <t xml:space="preserve">Travel, tools, research time</t>
  </si>
  <si>
    <t xml:space="preserve">SaaS communities, VCs</t>
  </si>
  <si>
    <t xml:space="preserve">Rev share = aligned incentives</t>
  </si>
  <si>
    <t xml:space="preserve">AI Security</t>
  </si>
  <si>
    <t xml:space="preserve">Protect AI systems from exploits</t>
  </si>
  <si>
    <t xml:space="preserve">Enterprise and SME IT</t>
  </si>
  <si>
    <t xml:space="preserve">Audits, pen testing, agent sec</t>
  </si>
  <si>
    <t xml:space="preserve">Audit fee + monthly retainer</t>
  </si>
  <si>
    <t xml:space="preserve">Cybersec tools, certifications</t>
  </si>
  <si>
    <t xml:space="preserve">ISACA, SANS Institute</t>
  </si>
  <si>
    <t xml:space="preserve">AI security = new urgent need</t>
  </si>
  <si>
    <t xml:space="preserve">AI Insights Platform</t>
  </si>
  <si>
    <t xml:space="preserve">Plain-English business insights</t>
  </si>
  <si>
    <t xml:space="preserve">Mid-market analytics teams</t>
  </si>
  <si>
    <t xml:space="preserve">Build NLP analytics layer</t>
  </si>
  <si>
    <t xml:space="preserve">SaaS subscription R500–R5k</t>
  </si>
  <si>
    <t xml:space="preserve">ML infra, dev, hosting</t>
  </si>
  <si>
    <t xml:space="preserve">BI tools (Power BI, Tableau)</t>
  </si>
  <si>
    <t xml:space="preserve">Dashboards are dead — insights win</t>
  </si>
  <si>
    <t xml:space="preserve">Smarter, AI-native pipeline mgmt</t>
  </si>
  <si>
    <t xml:space="preserve">SA SME sales teams</t>
  </si>
  <si>
    <t xml:space="preserve">Build CRM, AI scoring, automation</t>
  </si>
  <si>
    <t xml:space="preserve">Monthly subscription R300–R2k</t>
  </si>
  <si>
    <t xml:space="preserve">Dev, infra, support team</t>
  </si>
  <si>
    <t xml:space="preserve">Payment gateways, integrations</t>
  </si>
  <si>
    <t xml:space="preserve">Salesforce too expensive for SA SME</t>
  </si>
  <si>
    <t xml:space="preserve">On-demand custom business templates</t>
  </si>
  <si>
    <t xml:space="preserve">Marketers, agencies, consultants</t>
  </si>
  <si>
    <t xml:space="preserve">Build gen engine, manage library</t>
  </si>
  <si>
    <t xml:space="preserve">Subscription R200–R1k</t>
  </si>
  <si>
    <t xml:space="preserve">GPT, storage, frontend</t>
  </si>
  <si>
    <t xml:space="preserve">Design tools, brand libraries</t>
  </si>
  <si>
    <t xml:space="preserve">Agencies pay for speed and quality</t>
  </si>
  <si>
    <t xml:space="preserve">Trusted ratings for AI agents</t>
  </si>
  <si>
    <t xml:space="preserve">Enterprises buying AI tools</t>
  </si>
  <si>
    <t xml:space="preserve">Build review platform, verify</t>
  </si>
  <si>
    <t xml:space="preserve">Listings + commissions</t>
  </si>
  <si>
    <t xml:space="preserve">Dev, moderation, trust infra</t>
  </si>
  <si>
    <t xml:space="preserve">AI agent vendors</t>
  </si>
  <si>
    <t xml:space="preserve">Data network effect = winner-take-all</t>
  </si>
  <si>
    <t xml:space="preserve">Buy and deploy agents instantly</t>
  </si>
  <si>
    <t xml:space="preserve">Businesses and developers</t>
  </si>
  <si>
    <t xml:space="preserve">Build marketplace, manage listings</t>
  </si>
  <si>
    <t xml:space="preserve">Commission on agent sales</t>
  </si>
  <si>
    <t xml:space="preserve">Dev, hosting, legal</t>
  </si>
  <si>
    <t xml:space="preserve">AI developers, cloud providers</t>
  </si>
  <si>
    <t xml:space="preserve">Shopify for AI agents</t>
  </si>
  <si>
    <t xml:space="preserve">LinkedIn for AI agents</t>
  </si>
  <si>
    <t xml:space="preserve">AI developers and companies</t>
  </si>
  <si>
    <t xml:space="preserve">Build profiles, interactions, feeds</t>
  </si>
  <si>
    <t xml:space="preserve">Sub + enterprise tools</t>
  </si>
  <si>
    <t xml:space="preserve">Massive dev + infra investment</t>
  </si>
  <si>
    <t xml:space="preserve">AI labs, VC firms</t>
  </si>
  <si>
    <t xml:space="preserve">Platform network effects</t>
  </si>
  <si>
    <t xml:space="preserve">Autonomous Biz Platform</t>
  </si>
  <si>
    <t xml:space="preserve">Launch a business that runs itself</t>
  </si>
  <si>
    <t xml:space="preserve">Serial entrepreneurs</t>
  </si>
  <si>
    <t xml:space="preserve">Build agent workflows + co management</t>
  </si>
  <si>
    <t xml:space="preserve">SaaS + revenue share</t>
  </si>
  <si>
    <t xml:space="preserve">Very high dev cost</t>
  </si>
  <si>
    <t xml:space="preserve">Legal, accounting, ops tools</t>
  </si>
  <si>
    <t xml:space="preserve">Future of entrepreneurship</t>
  </si>
  <si>
    <t xml:space="preserve">Launch 10 AI cos simultaneously</t>
  </si>
  <si>
    <t xml:space="preserve">Founding teams SA</t>
  </si>
  <si>
    <t xml:space="preserve">Select, fund, support, exit</t>
  </si>
  <si>
    <t xml:space="preserve">Equity + services fee</t>
  </si>
  <si>
    <t xml:space="preserve">Capital, team, office</t>
  </si>
  <si>
    <t xml:space="preserve">SA VCs, IDC, tech accelerators</t>
  </si>
  <si>
    <t xml:space="preserve">Own portfolio of AI companies</t>
  </si>
  <si>
    <t xml:space="preserve">Human-Made Certification</t>
  </si>
  <si>
    <t xml:space="preserve">Premium 'no AI' brand label</t>
  </si>
  <si>
    <t xml:space="preserve">Luxury and craft brands</t>
  </si>
  <si>
    <t xml:space="preserve">Develop standards, audit, certify</t>
  </si>
  <si>
    <t xml:space="preserve">Licensing fees per brand</t>
  </si>
  <si>
    <t xml:space="preserve">Legal, audit team, marketing</t>
  </si>
  <si>
    <t xml:space="preserve">Craft guilds, luxury associations</t>
  </si>
  <si>
    <t xml:space="preserve">Anti-AI movement = premium pricing</t>
  </si>
  <si>
    <t xml:space="preserve">Experience Economy</t>
  </si>
  <si>
    <t xml:space="preserve">Immersive physical AI experiences</t>
  </si>
  <si>
    <t xml:space="preserve">Consumers and corporates</t>
  </si>
  <si>
    <t xml:space="preserve">Build venues, events, experiences</t>
  </si>
  <si>
    <t xml:space="preserve">Per experience / corporate</t>
  </si>
  <si>
    <t xml:space="preserve">Very high capex</t>
  </si>
  <si>
    <t xml:space="preserve">Event companies, venues</t>
  </si>
  <si>
    <t xml:space="preserve">Physical cannot be disrupted by AI</t>
  </si>
  <si>
    <t xml:space="preserve">Founder-Agent Training</t>
  </si>
  <si>
    <t xml:space="preserve">Teach founders to manage AI agents</t>
  </si>
  <si>
    <t xml:space="preserve">Entrepreneurs globally</t>
  </si>
  <si>
    <t xml:space="preserve">Create curriculum, build community</t>
  </si>
  <si>
    <t xml:space="preserve">Courses + community sub</t>
  </si>
  <si>
    <t xml:space="preserve">Content creation, platform</t>
  </si>
  <si>
    <t xml:space="preserve">Udemy, Coursera, communities</t>
  </si>
  <si>
    <t xml:space="preserve">Hermie = expert founder teaching founders</t>
  </si>
  <si>
    <t xml:space="preserve">Control AI agent access rights</t>
  </si>
  <si>
    <t xml:space="preserve">Enterprise IT and security</t>
  </si>
  <si>
    <t xml:space="preserve">Build permission framework, SaaS</t>
  </si>
  <si>
    <t xml:space="preserve">Enterprise SaaS R5k–R50k/mo</t>
  </si>
  <si>
    <t xml:space="preserve">Major dev investment</t>
  </si>
  <si>
    <t xml:space="preserve">Enterprise sales partners</t>
  </si>
  <si>
    <t xml:space="preserve">Zero competition today</t>
  </si>
  <si>
    <t xml:space="preserve">Clean and audit your AI footprint</t>
  </si>
  <si>
    <t xml:space="preserve">SMEs and individuals</t>
  </si>
  <si>
    <t xml:space="preserve">Build audit tools, alerts, reports</t>
  </si>
  <si>
    <t xml:space="preserve">Subscription R100–R1k/mo</t>
  </si>
  <si>
    <t xml:space="preserve">Dev, cloud, compliance team</t>
  </si>
  <si>
    <t xml:space="preserve">Cybersec regulators, advisors</t>
  </si>
  <si>
    <t xml:space="preserve">POPIA compliance angle in SA</t>
  </si>
  <si>
    <t xml:space="preserve">Tools to build niche AI monopolies</t>
  </si>
  <si>
    <t xml:space="preserve">Entrepreneurs SA and global</t>
  </si>
  <si>
    <t xml:space="preserve">Build toolkit, education, community</t>
  </si>
  <si>
    <t xml:space="preserve">Sub + education R200–R2k</t>
  </si>
  <si>
    <t xml:space="preserve">Platform dev, content, support</t>
  </si>
  <si>
    <t xml:space="preserve">AI tools, accelerators</t>
  </si>
  <si>
    <t xml:space="preserve">Hermie's own journey = authentic authority</t>
  </si>
  <si>
    <t xml:space="preserve">Recover lost hours — know where time goes daily</t>
  </si>
  <si>
    <t xml:space="preserve">SME founders, team leaders</t>
  </si>
  <si>
    <t xml:space="preserve">Build dashboard, integrate calendars, AI time insights</t>
  </si>
  <si>
    <t xml:space="preserve">Monthly sub R150–500</t>
  </si>
  <si>
    <t xml:space="preserve">Dev, hosting, Supabase</t>
  </si>
  <si>
    <t xml:space="preserve">Google Calendar, Slack, Toggl API</t>
  </si>
  <si>
    <t xml:space="preserve">First SA-built founder time tool — local currency, local pain</t>
  </si>
  <si>
    <t xml:space="preserve">Hire a trusted SA virtual assistant in 48 hours</t>
  </si>
  <si>
    <t xml:space="preserve">Entrepreneurs, solo operators</t>
  </si>
  <si>
    <t xml:space="preserve">Curate VAs, vet candidates, facilitate matching</t>
  </si>
  <si>
    <t xml:space="preserve">Commission 10% + sub R500</t>
  </si>
  <si>
    <t xml:space="preserve">Platform dev, VA vetting, support</t>
  </si>
  <si>
    <t xml:space="preserve">LinkedIn SA, Pnet, OnlineJobs.ph</t>
  </si>
  <si>
    <t xml:space="preserve">First SA-specific VA marketplace with quality guarantee</t>
  </si>
  <si>
    <t xml:space="preserve">Turn every task into a delegatable SOP in minutes</t>
  </si>
  <si>
    <t xml:space="preserve">Founders, team managers</t>
  </si>
  <si>
    <t xml:space="preserve">AI SOP generation, playbook templates, team training</t>
  </si>
  <si>
    <t xml:space="preserve">Sub R200–800/mo</t>
  </si>
  <si>
    <t xml:space="preserve">AI API costs, dev, storage</t>
  </si>
  <si>
    <t xml:space="preserve">OpenAI, Notion, Google Docs</t>
  </si>
  <si>
    <t xml:space="preserve">Built specifically for founder delegation — not just PM tool</t>
  </si>
  <si>
    <t xml:space="preserve">Find your top 3 time leaks in under 30 minutes</t>
  </si>
  <si>
    <t xml:space="preserve">SME owners, busy executives</t>
  </si>
  <si>
    <t xml:space="preserve">Intake form, AI audit, personalised report generation</t>
  </si>
  <si>
    <t xml:space="preserve">Project R2000 + sub R500</t>
  </si>
  <si>
    <t xml:space="preserve">AI API, dev, report generation</t>
  </si>
  <si>
    <t xml:space="preserve">Typeform, GPT-4, Calendly</t>
  </si>
  <si>
    <t xml:space="preserve">Immediate ROI — clients see the value before they pay again</t>
  </si>
  <si>
    <t xml:space="preserve">Stop burning out — track what drains you and what doesn't</t>
  </si>
  <si>
    <t xml:space="preserve">Founders, entrepreneurs</t>
  </si>
  <si>
    <t xml:space="preserve">Daily check-ins, AI trend analysis, energy optimization</t>
  </si>
  <si>
    <t xml:space="preserve">Sub R100–500/mo</t>
  </si>
  <si>
    <t xml:space="preserve">Dev, hosting, AI API</t>
  </si>
  <si>
    <t xml:space="preserve">Wearable APIs (Oura, Fitbit), OpenAI</t>
  </si>
  <si>
    <t xml:space="preserve">Wellness + productivity combined — rare in SA B2B market</t>
  </si>
  <si>
    <t xml:space="preserve">See every KPI, every team, every bottleneck in one screen</t>
  </si>
  <si>
    <t xml:space="preserve">Scaling SMEs, ops managers</t>
  </si>
  <si>
    <t xml:space="preserve">Build dashboard, integrate data sources, custom KPIs</t>
  </si>
  <si>
    <t xml:space="preserve">Monthly sub R500–2000</t>
  </si>
  <si>
    <t xml:space="preserve">Dev, Supabase, hosting</t>
  </si>
  <si>
    <t xml:space="preserve">Google Workspace, Xero, Slack, HR tools</t>
  </si>
  <si>
    <t xml:space="preserve">Single-pane-of-glass for SA SMEs — no enterprise price tag</t>
  </si>
  <si>
    <t xml:space="preserve">Know exactly when and who to hire before you post a job</t>
  </si>
  <si>
    <t xml:space="preserve">SME owners, HR beginners</t>
  </si>
  <si>
    <t xml:space="preserve">Checklist wizard, role-fit scoring, hiring plan output</t>
  </si>
  <si>
    <t xml:space="preserve">Sub R200–1000/mo</t>
  </si>
  <si>
    <t xml:space="preserve">Dev, hosting, content</t>
  </si>
  <si>
    <t xml:space="preserve">LinkedIn SA, PASA, Indeed SA</t>
  </si>
  <si>
    <t xml:space="preserve">Reduces bad hires — huge SA SME pain point</t>
  </si>
  <si>
    <t xml:space="preserve">Train your admin/EA to run at CEO level</t>
  </si>
  <si>
    <t xml:space="preserve">Admin professionals, EAs</t>
  </si>
  <si>
    <t xml:space="preserve">Video courses, AI coaching, task management skills</t>
  </si>
  <si>
    <t xml:space="preserve">Course R1500 + sub R500</t>
  </si>
  <si>
    <t xml:space="preserve">Content creation, LMS platform</t>
  </si>
  <si>
    <t xml:space="preserve">Google Workspace, Notion, Calendly</t>
  </si>
  <si>
    <t xml:space="preserve">Only SA-built EA training platform — massive gap in market</t>
  </si>
  <si>
    <t xml:space="preserve">Know which team members are overloaded before they quit</t>
  </si>
  <si>
    <t xml:space="preserve">Team leaders, HR managers</t>
  </si>
  <si>
    <t xml:space="preserve">Team time tracking, AI workload balancing, alerts</t>
  </si>
  <si>
    <t xml:space="preserve">Sub R300–1500/mo</t>
  </si>
  <si>
    <t xml:space="preserve">Dev, AI API, Supabase</t>
  </si>
  <si>
    <t xml:space="preserve">Slack, Jira, Google Calendar</t>
  </si>
  <si>
    <t xml:space="preserve">Prevents burnout — reduces turnover cost for SA businesses</t>
  </si>
  <si>
    <t xml:space="preserve">See your founder freedom score — then fix it</t>
  </si>
  <si>
    <t xml:space="preserve">Founders wanting to scale</t>
  </si>
  <si>
    <t xml:space="preserve">Score calculation, gap analysis, action plan generation</t>
  </si>
  <si>
    <t xml:space="preserve">Lead gen + sub R100–500</t>
  </si>
  <si>
    <t xml:space="preserve">Dev, AI API, email automation</t>
  </si>
  <si>
    <t xml:space="preserve">ConvertKit, OpenAI, Calendly</t>
  </si>
  <si>
    <t xml:space="preserve">Viral SA founder tool — shareable score drives organic growth</t>
  </si>
  <si>
    <t xml:space="preserve">Build a clear, compelling offer in 20 minutes</t>
  </si>
  <si>
    <t xml:space="preserve">Service businesses, coaches</t>
  </si>
  <si>
    <t xml:space="preserve">AI offer wizard, positioning templates, testing module</t>
  </si>
  <si>
    <t xml:space="preserve">AI API, dev, hosting</t>
  </si>
  <si>
    <t xml:space="preserve">OpenAI, Stripe, Supabase</t>
  </si>
  <si>
    <t xml:space="preserve">SA-first offer builder — understands local market language</t>
  </si>
  <si>
    <t xml:space="preserve">Find your most profitable niche using real SA data</t>
  </si>
  <si>
    <t xml:space="preserve">Generalist agencies, consultants</t>
  </si>
  <si>
    <t xml:space="preserve">Market scoring, ICP matching, niche validation</t>
  </si>
  <si>
    <t xml:space="preserve">Per use R200 + sub R500/mo</t>
  </si>
  <si>
    <t xml:space="preserve">AI API, SA market data, dev</t>
  </si>
  <si>
    <t xml:space="preserve">Stats SA, Google Trends, OpenAI</t>
  </si>
  <si>
    <t xml:space="preserve">Uses actual SA market data — not generic US frameworks</t>
  </si>
  <si>
    <t xml:space="preserve">See exactly which services make you money</t>
  </si>
  <si>
    <t xml:space="preserve">Service-based SMEs</t>
  </si>
  <si>
    <t xml:space="preserve">Revenue categorisation, profit margin tracking, AI insights</t>
  </si>
  <si>
    <t xml:space="preserve">Sub R400–2000/mo</t>
  </si>
  <si>
    <t xml:space="preserve">Dev, Supabase, accounting API</t>
  </si>
  <si>
    <t xml:space="preserve">Xero, Sage, QuickBooks SA</t>
  </si>
  <si>
    <t xml:space="preserve">Links revenue to effort — shows founders where to double down</t>
  </si>
  <si>
    <t xml:space="preserve">Align every campaign to one strategic goal</t>
  </si>
  <si>
    <t xml:space="preserve">Digital agencies, marketing teams</t>
  </si>
  <si>
    <t xml:space="preserve">Campaign planning, goal mapping, KPI alignment tool</t>
  </si>
  <si>
    <t xml:space="preserve">Sub R500–2500/mo</t>
  </si>
  <si>
    <t xml:space="preserve">Dev, AI, hosting</t>
  </si>
  <si>
    <t xml:space="preserve">Google Ads, Meta, HubSpot</t>
  </si>
  <si>
    <t xml:space="preserve">Strategic clarity tool — differentiates from tactical tools</t>
  </si>
  <si>
    <t xml:space="preserve">Create a razor-sharp offer statement in 60 seconds</t>
  </si>
  <si>
    <t xml:space="preserve">Marketers, founders, salespeople</t>
  </si>
  <si>
    <t xml:space="preserve">AI prompt system, offer framework, A/B test module</t>
  </si>
  <si>
    <t xml:space="preserve">Sub R150–800/mo</t>
  </si>
  <si>
    <t xml:space="preserve">OpenAI, Stripe</t>
  </si>
  <si>
    <t xml:space="preserve">Fastest ROI — founders use it immediately and see results</t>
  </si>
  <si>
    <t xml:space="preserve">Find why your offer isn't converting — and fix it</t>
  </si>
  <si>
    <t xml:space="preserve">Multi-service businesses</t>
  </si>
  <si>
    <t xml:space="preserve">Offer scoring, competitor analysis, rewrite suggestions</t>
  </si>
  <si>
    <t xml:space="preserve">Per audit R1000–3000</t>
  </si>
  <si>
    <t xml:space="preserve">AI API, dev, analyst time</t>
  </si>
  <si>
    <t xml:space="preserve">OpenAI, SemRush, Meta</t>
  </si>
  <si>
    <t xml:space="preserve">Diagnostic tool = clients pay for the problem, not the tool</t>
  </si>
  <si>
    <t xml:space="preserve">Build your brand position on one page</t>
  </si>
  <si>
    <t xml:space="preserve">Coaches, personal brands, consultants</t>
  </si>
  <si>
    <t xml:space="preserve">AI canvas builder, competitor map, messaging framework</t>
  </si>
  <si>
    <t xml:space="preserve">One-time R500 + sub R300/mo</t>
  </si>
  <si>
    <t xml:space="preserve">AI API, dev, templates</t>
  </si>
  <si>
    <t xml:space="preserve">OpenAI, Canva API, Stripe</t>
  </si>
  <si>
    <t xml:space="preserve">Visual output clients can use immediately = instant perceived value</t>
  </si>
  <si>
    <t xml:space="preserve">Generate sales scripts that actually sound human</t>
  </si>
  <si>
    <t xml:space="preserve">Sales teams, SDRs, closers</t>
  </si>
  <si>
    <t xml:space="preserve">AI script generation, objection handling, roleplay module</t>
  </si>
  <si>
    <t xml:space="preserve">OpenAI, Gong, HubSpot</t>
  </si>
  <si>
    <t xml:space="preserve">SA-context scripts — handles load shedding objections, ZAR pricing</t>
  </si>
  <si>
    <t xml:space="preserve">Build a precise ideal client profile backed by data</t>
  </si>
  <si>
    <t xml:space="preserve">B2B companies, sales teams</t>
  </si>
  <si>
    <t xml:space="preserve">ICP framework, AI data analysis, profile generation</t>
  </si>
  <si>
    <t xml:space="preserve">Per report R500 + sub R300/mo</t>
  </si>
  <si>
    <t xml:space="preserve">AI API, SA business data</t>
  </si>
  <si>
    <t xml:space="preserve">LinkedIn, OpenAI, ZoomInfo SA</t>
  </si>
  <si>
    <t xml:space="preserve">SA-specific ICP data — most tools are US-market-only</t>
  </si>
  <si>
    <t xml:space="preserve">Test your offer before you spend money on marketing</t>
  </si>
  <si>
    <t xml:space="preserve">Entrepreneurs, product launchers</t>
  </si>
  <si>
    <t xml:space="preserve">Landing page builder, A/B testing, conversion tracking</t>
  </si>
  <si>
    <t xml:space="preserve">Project R1000 + sub R500/mo</t>
  </si>
  <si>
    <t xml:space="preserve">Dev, hosting, A/B testing</t>
  </si>
  <si>
    <t xml:space="preserve">Vercel, Supabase, Google Analytics</t>
  </si>
  <si>
    <t xml:space="preserve">Kill bad offers before launch — saves thousands in wasted ad spend</t>
  </si>
  <si>
    <t xml:space="preserve">Choose the right 2 marketing channels and dominate them</t>
  </si>
  <si>
    <t xml:space="preserve">Growth teams, founders</t>
  </si>
  <si>
    <t xml:space="preserve">Channel scoring, SA market fit analysis, 90-day plan</t>
  </si>
  <si>
    <t xml:space="preserve">AI API, SA market data</t>
  </si>
  <si>
    <t xml:space="preserve">Google Analytics, Meta, OpenAI</t>
  </si>
  <si>
    <t xml:space="preserve">Stops SA founders wasting budget on wrong channels</t>
  </si>
  <si>
    <t xml:space="preserve">Build a repeatable outbound sales machine</t>
  </si>
  <si>
    <t xml:space="preserve">B2B companies, agencies</t>
  </si>
  <si>
    <t xml:space="preserve">Sequence builder, AI personalization, response tracking</t>
  </si>
  <si>
    <t xml:space="preserve">Sub R500–3000/mo</t>
  </si>
  <si>
    <t xml:space="preserve">Dev, email API, AI API</t>
  </si>
  <si>
    <t xml:space="preserve">Apollo, Instantly, OpenAI, Mailgun</t>
  </si>
  <si>
    <t xml:space="preserve">Affordable B2B outbound for SA — replaces expensive US tools</t>
  </si>
  <si>
    <t xml:space="preserve">Manage resellers and referral partners in one place</t>
  </si>
  <si>
    <t xml:space="preserve">Agencies, multi-tier businesses</t>
  </si>
  <si>
    <t xml:space="preserve">Partner onboarding, commission tracking, deal visibility</t>
  </si>
  <si>
    <t xml:space="preserve">Commission 5% + sub R300/mo</t>
  </si>
  <si>
    <t xml:space="preserve">Dev, Supabase, payment gateway</t>
  </si>
  <si>
    <t xml:space="preserve">Stripe, Supabase, Slack</t>
  </si>
  <si>
    <t xml:space="preserve">First SA-built white-label partner management platform</t>
  </si>
  <si>
    <t xml:space="preserve">Work backwards from your income goal to your daily actions</t>
  </si>
  <si>
    <t xml:space="preserve">Founders, sales leaders</t>
  </si>
  <si>
    <t xml:space="preserve">Revenue calculator, activity breakdown, daily target output</t>
  </si>
  <si>
    <t xml:space="preserve">Free tier + premium R1500/mo</t>
  </si>
  <si>
    <t xml:space="preserve">Dev, hosting (minimal)</t>
  </si>
  <si>
    <t xml:space="preserve">Stripe, Supabase</t>
  </si>
  <si>
    <t xml:space="preserve">Zero-cost viral tool — becomes lead magnet for bigger platform</t>
  </si>
  <si>
    <t xml:space="preserve">See every lead, every stage, every next action in one view</t>
  </si>
  <si>
    <t xml:space="preserve">Sales teams, owner-operators</t>
  </si>
  <si>
    <t xml:space="preserve">Lead aggregation, AI prioritization, next-step prompts</t>
  </si>
  <si>
    <t xml:space="preserve">Sub R400–2500/mo</t>
  </si>
  <si>
    <t xml:space="preserve">Dev, Supabase, AI API</t>
  </si>
  <si>
    <t xml:space="preserve">HubSpot, Pipedrive, Google Sheets</t>
  </si>
  <si>
    <t xml:space="preserve">Replaces spreadsheets — SA SMEs still tracking leads in Excel</t>
  </si>
  <si>
    <t xml:space="preserve">Diagnose why your pipeline is stalling and fix it</t>
  </si>
  <si>
    <t xml:space="preserve">Sales managers, founders</t>
  </si>
  <si>
    <t xml:space="preserve">Pipeline audit, AI scoring, bottleneck identification</t>
  </si>
  <si>
    <t xml:space="preserve">Dev, CRM API, AI API</t>
  </si>
  <si>
    <t xml:space="preserve">Salesforce, HubSpot, Pipedrive</t>
  </si>
  <si>
    <t xml:space="preserve">Weekly health score = accountability tool for sales teams</t>
  </si>
  <si>
    <t xml:space="preserve">Know your CAC, LTV, churn and payback period at a glance</t>
  </si>
  <si>
    <t xml:space="preserve">Startup founders, investors</t>
  </si>
  <si>
    <t xml:space="preserve">Metrics calculation, cohort analysis, investor report output</t>
  </si>
  <si>
    <t xml:space="preserve">Stripe, Supabase, Xero</t>
  </si>
  <si>
    <t xml:space="preserve">SA-first unit economics tool — investors demand this data</t>
  </si>
  <si>
    <t xml:space="preserve">Track growth metrics weekly with one score</t>
  </si>
  <si>
    <t xml:space="preserve">Marketing teams, founders</t>
  </si>
  <si>
    <t xml:space="preserve">KPI tracking, weekly scorecard, AI growth recommendations</t>
  </si>
  <si>
    <t xml:space="preserve">Google Analytics, Meta, HubSpot</t>
  </si>
  <si>
    <t xml:space="preserve">One score replaces 10 dashboards — simplicity is the product</t>
  </si>
  <si>
    <t xml:space="preserve">Train your team to do outbound cold outreach that books</t>
  </si>
  <si>
    <t xml:space="preserve">Sales reps, BDRs</t>
  </si>
  <si>
    <t xml:space="preserve">Video modules, live practice sessions, AI feedback</t>
  </si>
  <si>
    <t xml:space="preserve">Course R2000 + sub R500/mo</t>
  </si>
  <si>
    <t xml:space="preserve">Content creation, LMS</t>
  </si>
  <si>
    <t xml:space="preserve">Loom, OpenAI, Teachable</t>
  </si>
  <si>
    <t xml:space="preserve">SA-specific outreach training — local industries, local objections</t>
  </si>
  <si>
    <t xml:space="preserve">Know which content pieces are actually generating revenue</t>
  </si>
  <si>
    <t xml:space="preserve">Content marketers, agencies</t>
  </si>
  <si>
    <t xml:space="preserve">Content attribution, lead source tracking, ROI reporting</t>
  </si>
  <si>
    <t xml:space="preserve">Dev, API integrations</t>
  </si>
  <si>
    <t xml:space="preserve">Google Analytics 4, HubSpot, Meta Pixel</t>
  </si>
  <si>
    <t xml:space="preserve">Closes the content ROI loop — marketers keep their budget</t>
  </si>
  <si>
    <t xml:space="preserve">Document any process in 10 minutes with AI</t>
  </si>
  <si>
    <t xml:space="preserve">Growing SMEs, ops managers</t>
  </si>
  <si>
    <t xml:space="preserve">AI process capture, SOP generation, team publishing</t>
  </si>
  <si>
    <t xml:space="preserve">AI API, dev, Supabase</t>
  </si>
  <si>
    <t xml:space="preserve">OpenAI, Notion, Google Workspace</t>
  </si>
  <si>
    <t xml:space="preserve">Turns 2-hour SOP writing into 10 minutes — immediate value</t>
  </si>
  <si>
    <t xml:space="preserve">Find every operational inefficiency in your business in 48 hours</t>
  </si>
  <si>
    <t xml:space="preserve">SME owners, consultants</t>
  </si>
  <si>
    <t xml:space="preserve">Ops intake form, AI analysis, priority fix list</t>
  </si>
  <si>
    <t xml:space="preserve">Per audit R2000 + sub R500/mo</t>
  </si>
  <si>
    <t xml:space="preserve">OpenAI, Typeform, Notion</t>
  </si>
  <si>
    <t xml:space="preserve">Consulting-grade output at SaaS price — disrupts SA consultants</t>
  </si>
  <si>
    <t xml:space="preserve">Map and automate your core business workflows visually</t>
  </si>
  <si>
    <t xml:space="preserve">Operations managers, founders</t>
  </si>
  <si>
    <t xml:space="preserve">Drag-drop workflow builder, automation triggers, integrations</t>
  </si>
  <si>
    <t xml:space="preserve">Dev, no-code engine</t>
  </si>
  <si>
    <t xml:space="preserve">Zapier, Make, Supabase, Slack</t>
  </si>
  <si>
    <t xml:space="preserve">Visual workflow builder built for SA SMEs — not Jira complexity</t>
  </si>
  <si>
    <t xml:space="preserve">Discover every task only you can do — then remove yourself</t>
  </si>
  <si>
    <t xml:space="preserve">Scaling founders</t>
  </si>
  <si>
    <t xml:space="preserve">Dependency scoring, role analysis, delegation roadmap</t>
  </si>
  <si>
    <t xml:space="preserve">Per audit R2000–8000</t>
  </si>
  <si>
    <t xml:space="preserve">Minimal — founder's time + AI</t>
  </si>
  <si>
    <t xml:space="preserve">OpenAI, Typeform, Calendly</t>
  </si>
  <si>
    <t xml:space="preserve">High-ticket, high-impact — solves the #1 SA founder bottleneck</t>
  </si>
  <si>
    <t xml:space="preserve">Give every new client a 5-star onboarding experience automatically</t>
  </si>
  <si>
    <t xml:space="preserve">Client-facing businesses</t>
  </si>
  <si>
    <t xml:space="preserve">Onboarding workflow builder, automated touchpoints, tracking</t>
  </si>
  <si>
    <t xml:space="preserve">Dev, email API, Supabase</t>
  </si>
  <si>
    <t xml:space="preserve">Zapier, Mailchimp, Calendly, Stripe</t>
  </si>
  <si>
    <t xml:space="preserve">Reduces client churn in first 90 days — massive SA SME problem</t>
  </si>
  <si>
    <t xml:space="preserve">Run consistent quality checks on every job every time</t>
  </si>
  <si>
    <t xml:space="preserve">Production/service teams</t>
  </si>
  <si>
    <t xml:space="preserve">Digital checklist builder, sign-off workflow, audit trail</t>
  </si>
  <si>
    <t xml:space="preserve">Supabase, Google Workspace, Slack</t>
  </si>
  <si>
    <t xml:space="preserve">Replaces paper checklists — huge in SA manufacturing/services</t>
  </si>
  <si>
    <t xml:space="preserve">Build, store and manage all your business processes in one place</t>
  </si>
  <si>
    <t xml:space="preserve">Documentation teams, COOs</t>
  </si>
  <si>
    <t xml:space="preserve">Process library, version control, team access management</t>
  </si>
  <si>
    <t xml:space="preserve">Dev, Supabase, storage</t>
  </si>
  <si>
    <t xml:space="preserve">Google Workspace, Notion, Confluence</t>
  </si>
  <si>
    <t xml:space="preserve">SA Confluence alternative at 1/10th the price</t>
  </si>
  <si>
    <t xml:space="preserve">One dashboard to run your entire operations</t>
  </si>
  <si>
    <t xml:space="preserve">Business owners, ops managers</t>
  </si>
  <si>
    <t xml:space="preserve">Ops KPI aggregation, team task tracking, daily ops view</t>
  </si>
  <si>
    <t xml:space="preserve">Dev, Supabase, integrations</t>
  </si>
  <si>
    <t xml:space="preserve">Slack, Asana, Google Workspace</t>
  </si>
  <si>
    <t xml:space="preserve">Daily ops visibility without enterprise system complexity</t>
  </si>
  <si>
    <t xml:space="preserve">Manage client delivery across every account in one view</t>
  </si>
  <si>
    <t xml:space="preserve">Agencies, service businesses</t>
  </si>
  <si>
    <t xml:space="preserve">Project tracking, milestone management, client communication</t>
  </si>
  <si>
    <t xml:space="preserve">Dev, PM engine, Supabase</t>
  </si>
  <si>
    <t xml:space="preserve">Asana, Slack, HubSpot, Stripe</t>
  </si>
  <si>
    <t xml:space="preserve">Built for agencies — not generic PM tool, not expensive Teamwork</t>
  </si>
  <si>
    <t xml:space="preserve">Define exactly what 'done' looks like for every role in your team</t>
  </si>
  <si>
    <t xml:space="preserve">Team leaders, quality managers</t>
  </si>
  <si>
    <t xml:space="preserve">Done-criteria builder, role templates, team agreement tool</t>
  </si>
  <si>
    <t xml:space="preserve">Dev, AI API, hosting</t>
  </si>
  <si>
    <t xml:space="preserve">OpenAI, Notion, Slack</t>
  </si>
  <si>
    <t xml:space="preserve">Stops the #1 team communication breakdown — undefined standards</t>
  </si>
  <si>
    <t xml:space="preserve">Create clear decision-making authority for every situation</t>
  </si>
  <si>
    <t xml:space="preserve">Team leaders, CEOs</t>
  </si>
  <si>
    <t xml:space="preserve">Decision matrix builder, authority mapping, scenario testing</t>
  </si>
  <si>
    <t xml:space="preserve">OpenAI, Slack, Notion</t>
  </si>
  <si>
    <t xml:space="preserve">Empowers teams to decide without asking the founder every time</t>
  </si>
  <si>
    <t xml:space="preserve">Run weekly scorecards for every team and department</t>
  </si>
  <si>
    <t xml:space="preserve">Management teams, founders</t>
  </si>
  <si>
    <t xml:space="preserve">Scorecard builder, metric tracking, team accountability reports</t>
  </si>
  <si>
    <t xml:space="preserve">Dev, Supabase, AI</t>
  </si>
  <si>
    <t xml:space="preserve">Google Sheets API, Slack, OpenAI</t>
  </si>
  <si>
    <t xml:space="preserve">EOS/Traction-style scorecards at SA startup price</t>
  </si>
  <si>
    <t xml:space="preserve">Run every meeting with a purpose, outcome and next action</t>
  </si>
  <si>
    <t xml:space="preserve">Business teams, managers</t>
  </si>
  <si>
    <t xml:space="preserve">Meeting agenda builder, AI summaries, action tracking</t>
  </si>
  <si>
    <t xml:space="preserve">Dev, AI API, calendar API</t>
  </si>
  <si>
    <t xml:space="preserve">Google Calendar, OpenAI, Slack</t>
  </si>
  <si>
    <t xml:space="preserve">Turns wasted meetings into productive sessions — huge ROI</t>
  </si>
  <si>
    <t xml:space="preserve">Hire for culture fit as rigorously as skills fit</t>
  </si>
  <si>
    <t xml:space="preserve">HR managers, CEOs</t>
  </si>
  <si>
    <t xml:space="preserve">Culture profile builder, interview scoring, culture match AI</t>
  </si>
  <si>
    <t xml:space="preserve">Dev, AI API, HR integrations</t>
  </si>
  <si>
    <t xml:space="preserve">OpenAI, LinkedIn, BambooHR</t>
  </si>
  <si>
    <t xml:space="preserve">Bad culture hires cost 3x salary — this tool prevents it</t>
  </si>
  <si>
    <t xml:space="preserve">Run fair, consistent performance reviews without the drama</t>
  </si>
  <si>
    <t xml:space="preserve">People managers, HR</t>
  </si>
  <si>
    <t xml:space="preserve">Review template builder, 360 feedback, scoring workflow</t>
  </si>
  <si>
    <t xml:space="preserve">Google Forms, OpenAI, BambooHR</t>
  </si>
  <si>
    <t xml:space="preserve">Removes bias from SA performance reviews — HR teams love this</t>
  </si>
  <si>
    <t xml:space="preserve">Log, assign and resolve team issues before they become crises</t>
  </si>
  <si>
    <t xml:space="preserve">Managers, team leads</t>
  </si>
  <si>
    <t xml:space="preserve">Issue logging, priority scoring, resolution tracking</t>
  </si>
  <si>
    <t xml:space="preserve">Slack, Jira-lite, Google Workspace</t>
  </si>
  <si>
    <t xml:space="preserve">Lightweight Jira for SA SMEs who can't afford enterprise tools</t>
  </si>
  <si>
    <t xml:space="preserve">Measure your leadership effectiveness with data not opinions</t>
  </si>
  <si>
    <t xml:space="preserve">Executives, managers</t>
  </si>
  <si>
    <t xml:space="preserve">360 feedback, leadership dimensions, coaching action plan</t>
  </si>
  <si>
    <t xml:space="preserve">Sub R300–1500/mo + coaching</t>
  </si>
  <si>
    <t xml:space="preserve">Dev, AI, survey tool</t>
  </si>
  <si>
    <t xml:space="preserve">Objective leadership data — replaces expensive consultants</t>
  </si>
  <si>
    <t xml:space="preserve">Map every employee on a 9-box performance-potential grid</t>
  </si>
  <si>
    <t xml:space="preserve">HR teams, executives</t>
  </si>
  <si>
    <t xml:space="preserve">9-box plotting, team analysis, succession planning</t>
  </si>
  <si>
    <t xml:space="preserve">Dev, Supabase, HR API</t>
  </si>
  <si>
    <t xml:space="preserve">BambooHR, Google Workspace</t>
  </si>
  <si>
    <t xml:space="preserve">Enterprise succession tool at SME price — rare in SA market</t>
  </si>
  <si>
    <t xml:space="preserve">Embed your company values into hiring, reviews and culture</t>
  </si>
  <si>
    <t xml:space="preserve">Growing companies</t>
  </si>
  <si>
    <t xml:space="preserve">Values definition, hiring alignment, review integration</t>
  </si>
  <si>
    <t xml:space="preserve">Dev, AI, Supabase</t>
  </si>
  <si>
    <t xml:space="preserve">OpenAI, BambooHR, Google Forms</t>
  </si>
  <si>
    <t xml:space="preserve">Values-first culture building — SA companies invest heavily here</t>
  </si>
  <si>
    <t xml:space="preserve">Build and execute a 12-month strategy on one platform</t>
  </si>
  <si>
    <t xml:space="preserve">Founders, leadership teams</t>
  </si>
  <si>
    <t xml:space="preserve">Strategic planning wizard, OKR builder, quarterly review</t>
  </si>
  <si>
    <t xml:space="preserve">Annual sub R6000–36000</t>
  </si>
  <si>
    <t xml:space="preserve">Dev, AI, premium support</t>
  </si>
  <si>
    <t xml:space="preserve">OpenAI, Google Workspace, Slack</t>
  </si>
  <si>
    <t xml:space="preserve">Replaces R50k strategy consultants with an affordable tool</t>
  </si>
  <si>
    <t xml:space="preserve">Get your 5-year vision out of your head and onto a plan</t>
  </si>
  <si>
    <t xml:space="preserve">Vision workshop tool, milestone planning, progress tracking</t>
  </si>
  <si>
    <t xml:space="preserve">Per use R500 + sub R300/mo</t>
  </si>
  <si>
    <t xml:space="preserve">OpenAI, Miro, Canva API</t>
  </si>
  <si>
    <t xml:space="preserve">Structured vision = clarity = better decisions every day</t>
  </si>
  <si>
    <t xml:space="preserve">Define exactly what an A-Player looks like in every role</t>
  </si>
  <si>
    <t xml:space="preserve">HR teams, founders</t>
  </si>
  <si>
    <t xml:space="preserve">Role profiling, competency mapping, benchmark templates</t>
  </si>
  <si>
    <t xml:space="preserve">Per profile R300 + sub R200/mo</t>
  </si>
  <si>
    <t xml:space="preserve">Dev, AI API, templates</t>
  </si>
  <si>
    <t xml:space="preserve">OpenAI, BambooHR, Notion</t>
  </si>
  <si>
    <t xml:space="preserve">Hiring benchmark that reduces bad hires significantly in SA</t>
  </si>
  <si>
    <t xml:space="preserve">Get a culture score for your company in 48 hours</t>
  </si>
  <si>
    <t xml:space="preserve">CEOs, HR directors</t>
  </si>
  <si>
    <t xml:space="preserve">Culture survey, AI analysis, benchmark report, action plan</t>
  </si>
  <si>
    <t xml:space="preserve">Per survey R1000–3000</t>
  </si>
  <si>
    <t xml:space="preserve">Survey platform, AI API, reporting</t>
  </si>
  <si>
    <t xml:space="preserve">Typeform, OpenAI, Google Workspace</t>
  </si>
  <si>
    <t xml:space="preserve">Culture health = retention — SA companies losing talent rapidly</t>
  </si>
  <si>
    <t xml:space="preserve">Create fair, legal and motivating PIPs in minutes</t>
  </si>
  <si>
    <t xml:space="preserve">HR managers, line managers</t>
  </si>
  <si>
    <t xml:space="preserve">PIP template builder, milestone tracking, legal compliance check</t>
  </si>
  <si>
    <t xml:space="preserve">Dev, legal templates, AI API</t>
  </si>
  <si>
    <t xml:space="preserve">OpenAI, DocuSign SA, BambooHR</t>
  </si>
  <si>
    <t xml:space="preserve">Reduces unfair dismissal risk — massive SA labour law concern</t>
  </si>
  <si>
    <t xml:space="preserve">Build a powerful employer brand to attract top SA talent</t>
  </si>
  <si>
    <t xml:space="preserve">HR, marketing, employer brands</t>
  </si>
  <si>
    <t xml:space="preserve">Brand story framework, EVP builder, content generation</t>
  </si>
  <si>
    <t xml:space="preserve">Project R2000 + sub R500/mo</t>
  </si>
  <si>
    <t xml:space="preserve">AI API, dev, content tools</t>
  </si>
  <si>
    <t xml:space="preserve">OpenAI, Canva, LinkedIn</t>
  </si>
  <si>
    <t xml:space="preserve">Top SA talent chooses companies with compelling stories</t>
  </si>
  <si>
    <t xml:space="preserve">Celebrate team wins publicly and build a culture of recognition</t>
  </si>
  <si>
    <t xml:space="preserve">Culture teams, CEOs</t>
  </si>
  <si>
    <t xml:space="preserve">Win submission, public board, team celebration alerts</t>
  </si>
  <si>
    <t xml:space="preserve">Slack, Microsoft Teams, WhatsApp</t>
  </si>
  <si>
    <t xml:space="preserve">Simplest tool = highest adoption — recognition drives retention</t>
  </si>
  <si>
    <t xml:space="preserve">Model different equity splits and see the real financial impact</t>
  </si>
  <si>
    <t xml:space="preserve">Founders, co-founders, investors</t>
  </si>
  <si>
    <t xml:space="preserve">Cap table modelling, dilution scenarios, vesting schedules</t>
  </si>
  <si>
    <t xml:space="preserve">Dev, financial model engine</t>
  </si>
  <si>
    <t xml:space="preserve">Stripe, Supabase, PDF export</t>
  </si>
  <si>
    <t xml:space="preserve">Saves co-founders from expensive lawyers for basic equity planning</t>
  </si>
  <si>
    <t xml:space="preserve">Give new hires the culture experience before day one</t>
  </si>
  <si>
    <t xml:space="preserve">Growing companies, HR</t>
  </si>
  <si>
    <t xml:space="preserve">Pre-start culture journey, values intro, team connections</t>
  </si>
  <si>
    <t xml:space="preserve">Per hire R300 + sub R300/mo</t>
  </si>
  <si>
    <t xml:space="preserve">Dev, content tools, email API</t>
  </si>
  <si>
    <t xml:space="preserve">BambooHR, Mailchimp, Loom, Slack</t>
  </si>
  <si>
    <t xml:space="preserve">First 90-day retention starts before they walk in the door</t>
  </si>
  <si>
    <t xml:space="preserve">Identify and develop your next leaders before you need them</t>
  </si>
  <si>
    <t xml:space="preserve">High-potential tagging, development tracking, succession mapping</t>
  </si>
  <si>
    <t xml:space="preserve">BambooHR, OpenAI, Google Workspace</t>
  </si>
  <si>
    <t xml:space="preserve">Succession planning for SA SMEs — prevents the leadership cliff</t>
  </si>
  <si>
    <t xml:space="preserve">Build a living playbook for every department that actually gets used</t>
  </si>
  <si>
    <t xml:space="preserve">All businesses</t>
  </si>
  <si>
    <t xml:space="preserve">Playbook creator, team publishing, version control, search</t>
  </si>
  <si>
    <t xml:space="preserve">Dev, Supabase, storage, AI</t>
  </si>
  <si>
    <t xml:space="preserve">Living playbooks replace dead PDFs — team actually references them</t>
  </si>
  <si>
    <t xml:space="preserve">Transparent AI startup community</t>
  </si>
  <si>
    <t xml:space="preserve">AI founders and builders</t>
  </si>
  <si>
    <t xml:space="preserve">Build community, tools, content</t>
  </si>
  <si>
    <t xml:space="preserve">Memberships + tools R100–R500</t>
  </si>
  <si>
    <t xml:space="preserve">Community platform, moderation</t>
  </si>
  <si>
    <t xml:space="preserve">Indie Hackers, Twitter/X</t>
  </si>
  <si>
    <t xml:space="preserve">Authentic community = sticky retention</t>
  </si>
  <si>
    <t xml:space="preserve">SOUTH AFRICA AI MARKET RESEARCH — 2024/2025</t>
  </si>
  <si>
    <t xml:space="preserve">MACRO CONTEXT</t>
  </si>
  <si>
    <t xml:space="preserve">SA GDP Growth (2024)</t>
  </si>
  <si>
    <t xml:space="preserve">1.1%</t>
  </si>
  <si>
    <t xml:space="preserve">Source: Stats SA</t>
  </si>
  <si>
    <t xml:space="preserve">SA Internet Penetration</t>
  </si>
  <si>
    <t xml:space="preserve">72%</t>
  </si>
  <si>
    <t xml:space="preserve">68M mobile connections</t>
  </si>
  <si>
    <t xml:space="preserve">WhatsApp SA Users</t>
  </si>
  <si>
    <t xml:space="preserve">36M+</t>
  </si>
  <si>
    <t xml:space="preserve">Highest engagement globally</t>
  </si>
  <si>
    <t xml:space="preserve">SA SME Count</t>
  </si>
  <si>
    <t xml:space="preserve">2.5M+</t>
  </si>
  <si>
    <t xml:space="preserve">Mostly underserved by tech</t>
  </si>
  <si>
    <t xml:space="preserve">AI Adoption in SA Biz</t>
  </si>
  <si>
    <t xml:space="preserve">18%</t>
  </si>
  <si>
    <t xml:space="preserve">Growing 35% YoY</t>
  </si>
  <si>
    <t xml:space="preserve">SA Tech Startup Funding (2023)</t>
  </si>
  <si>
    <t xml:space="preserve">$900M+</t>
  </si>
  <si>
    <t xml:space="preserve">VC flowing into tech</t>
  </si>
  <si>
    <t xml:space="preserve">TARGET MARKET SIZES (SA)</t>
  </si>
  <si>
    <t xml:space="preserve">Idea</t>
  </si>
  <si>
    <t xml:space="preserve">Est. Addressable Market (SA)</t>
  </si>
  <si>
    <t xml:space="preserve">Price per Client (R/mo)</t>
  </si>
  <si>
    <t xml:space="preserve">Target Penetration</t>
  </si>
  <si>
    <t xml:space="preserve">Year 1 Revenue Target</t>
  </si>
  <si>
    <t xml:space="preserve">Competition Level</t>
  </si>
  <si>
    <t xml:space="preserve">500,000 eligible SMEs</t>
  </si>
  <si>
    <t xml:space="preserve">R800 avg</t>
  </si>
  <si>
    <t xml:space="preserve">0.01% = 50 clients</t>
  </si>
  <si>
    <t xml:space="preserve">R480,000</t>
  </si>
  <si>
    <t xml:space="preserve">Low</t>
  </si>
  <si>
    <t xml:space="preserve">45,000 estate agents SA</t>
  </si>
  <si>
    <t xml:space="preserve">R3,000 avg</t>
  </si>
  <si>
    <t xml:space="preserve">0.5% = 225 agents</t>
  </si>
  <si>
    <t xml:space="preserve">R8,100,000</t>
  </si>
  <si>
    <t xml:space="preserve">Low-Med</t>
  </si>
  <si>
    <t xml:space="preserve">200,000 service businesses</t>
  </si>
  <si>
    <t xml:space="preserve">R650 avg</t>
  </si>
  <si>
    <t xml:space="preserve">0.02% = 40 clients</t>
  </si>
  <si>
    <t xml:space="preserve">R312,000</t>
  </si>
  <si>
    <t xml:space="preserve">Varies by niche (1,000-50,000)</t>
  </si>
  <si>
    <t xml:space="preserve">R200 avg</t>
  </si>
  <si>
    <t xml:space="preserve">1-5% = 100 users</t>
  </si>
  <si>
    <t xml:space="preserve">R240,000</t>
  </si>
  <si>
    <t xml:space="preserve">800,000 SA businesses online</t>
  </si>
  <si>
    <t xml:space="preserve">R750 avg</t>
  </si>
  <si>
    <t xml:space="preserve">0.005% = 40 clients</t>
  </si>
  <si>
    <t xml:space="preserve">R360,000</t>
  </si>
  <si>
    <t xml:space="preserve">Med</t>
  </si>
  <si>
    <t xml:space="preserve">25,000 accounting firms SA</t>
  </si>
  <si>
    <t xml:space="preserve">R2,500 avg</t>
  </si>
  <si>
    <t xml:space="preserve">0.2% = 50 firms</t>
  </si>
  <si>
    <t xml:space="preserve">R1,500,000</t>
  </si>
  <si>
    <t xml:space="preserve">45,000 agents SA</t>
  </si>
  <si>
    <t xml:space="preserve">R1,500 avg</t>
  </si>
  <si>
    <t xml:space="preserve">0.3% = 135 agents</t>
  </si>
  <si>
    <t xml:space="preserve">R2,430,000</t>
  </si>
  <si>
    <t xml:space="preserve">KEY SA ADVANTAGES</t>
  </si>
  <si>
    <t xml:space="preserve">Factor</t>
  </si>
  <si>
    <t xml:space="preserve">Detail</t>
  </si>
  <si>
    <t xml:space="preserve">Opportunity</t>
  </si>
  <si>
    <t xml:space="preserve">WhatsApp Dominance</t>
  </si>
  <si>
    <t xml:space="preserve">90%+ of SA businesses use WhatsApp</t>
  </si>
  <si>
    <t xml:space="preserve">WhatsApp automation = massive opportunity</t>
  </si>
  <si>
    <t xml:space="preserve">Low AI Competition</t>
  </si>
  <si>
    <t xml:space="preserve">Most SA AI agencies are generic</t>
  </si>
  <si>
    <t xml:space="preserve">Niche specialists win easily</t>
  </si>
  <si>
    <t xml:space="preserve">High Cost of Staff</t>
  </si>
  <si>
    <t xml:space="preserve">Min wage R27/hr, skilled staff = R25k+/mo</t>
  </si>
  <si>
    <t xml:space="preserve">AI replacing staff = obvious ROI</t>
  </si>
  <si>
    <t xml:space="preserve">Load Shedding Solutions</t>
  </si>
  <si>
    <t xml:space="preserve">Businesses need automation resilience</t>
  </si>
  <si>
    <t xml:space="preserve">24/7 AI systems = essential</t>
  </si>
  <si>
    <t xml:space="preserve">POPIA Compliance Need</t>
  </si>
  <si>
    <t xml:space="preserve">Data protection law in force</t>
  </si>
  <si>
    <t xml:space="preserve">AI compliance tools = new need</t>
  </si>
  <si>
    <t xml:space="preserve">Township Economy</t>
  </si>
  <si>
    <t xml:space="preserve">50M+ underserved by formal tech</t>
  </si>
  <si>
    <t xml:space="preserve">Affordable AI tools = blue ocean</t>
  </si>
  <si>
    <t xml:space="preserve">KEY COMPETITORS (SA)</t>
  </si>
  <si>
    <t xml:space="preserve">Competitor</t>
  </si>
  <si>
    <t xml:space="preserve">Focus</t>
  </si>
  <si>
    <t xml:space="preserve">Weakness</t>
  </si>
  <si>
    <t xml:space="preserve">Your Edge</t>
  </si>
  <si>
    <t xml:space="preserve">Digitlab</t>
  </si>
  <si>
    <t xml:space="preserve">Digital strategy</t>
  </si>
  <si>
    <t xml:space="preserve">Not AI-native</t>
  </si>
  <si>
    <t xml:space="preserve">AI-first approach</t>
  </si>
  <si>
    <t xml:space="preserve">SMOQ</t>
  </si>
  <si>
    <t xml:space="preserve">Social media</t>
  </si>
  <si>
    <t xml:space="preserve">Content only</t>
  </si>
  <si>
    <t xml:space="preserve">Full automation stack</t>
  </si>
  <si>
    <t xml:space="preserve">Agiletek</t>
  </si>
  <si>
    <t xml:space="preserve">IT solutions</t>
  </si>
  <si>
    <t xml:space="preserve">Generic, not AI</t>
  </si>
  <si>
    <t xml:space="preserve">Niche specialization</t>
  </si>
  <si>
    <t xml:space="preserve">International AI tools</t>
  </si>
  <si>
    <t xml:space="preserve">General AI</t>
  </si>
  <si>
    <t xml:space="preserve">Not SA-specific</t>
  </si>
  <si>
    <t xml:space="preserve">Local context, ZAR pricing</t>
  </si>
  <si>
    <t xml:space="preserve">Freelancers on Upwork</t>
  </si>
  <si>
    <t xml:space="preserve">One-off builds</t>
  </si>
  <si>
    <t xml:space="preserve">No support, no retainer</t>
  </si>
  <si>
    <t xml:space="preserve">Full managed service</t>
  </si>
  <si>
    <t xml:space="preserve">90-DAY ACTION TRACKER — PHASE 1 EXECUTION</t>
  </si>
  <si>
    <t xml:space="preserve">WEEK</t>
  </si>
  <si>
    <t xml:space="preserve">ACTION</t>
  </si>
  <si>
    <t xml:space="preserve">OWNER</t>
  </si>
  <si>
    <t xml:space="preserve">DEADLINE</t>
  </si>
  <si>
    <t xml:space="preserve">STATUS</t>
  </si>
  <si>
    <t xml:space="preserve">NOTES</t>
  </si>
  <si>
    <t xml:space="preserve">Wk 1</t>
  </si>
  <si>
    <t xml:space="preserve">List 20 local salons/clinics in your area</t>
  </si>
  <si>
    <t xml:space="preserve">Hermie</t>
  </si>
  <si>
    <t xml:space="preserve">Day 7</t>
  </si>
  <si>
    <t xml:space="preserve">⬜ TODO</t>
  </si>
  <si>
    <t xml:space="preserve">Use Google Maps + Instagram</t>
  </si>
  <si>
    <t xml:space="preserve">Build demo WhatsApp bot (basic FAQ flow)</t>
  </si>
  <si>
    <t xml:space="preserve">Day 5</t>
  </si>
  <si>
    <t xml:space="preserve">Use WATI or Twilio sandbox</t>
  </si>
  <si>
    <t xml:space="preserve">Walk into 5 businesses with demo on phone</t>
  </si>
  <si>
    <t xml:space="preserve">Show live demo = conversion</t>
  </si>
  <si>
    <t xml:space="preserve">Wk 2</t>
  </si>
  <si>
    <t xml:space="preserve">Close first paying client</t>
  </si>
  <si>
    <t xml:space="preserve">Day 14</t>
  </si>
  <si>
    <t xml:space="preserve">Offer 30-day free trial</t>
  </si>
  <si>
    <t xml:space="preserve">Research top 10 estate agents in your area</t>
  </si>
  <si>
    <t xml:space="preserve">Day 10</t>
  </si>
  <si>
    <t xml:space="preserve">Check Property24 for top agents</t>
  </si>
  <si>
    <t xml:space="preserve">Build lead qual demo for real estate</t>
  </si>
  <si>
    <t xml:space="preserve">Day 12</t>
  </si>
  <si>
    <t xml:space="preserve">Simple form + GPT scoring</t>
  </si>
  <si>
    <t xml:space="preserve">Wk 3</t>
  </si>
  <si>
    <t xml:space="preserve">Book 5 meetings with estate agents</t>
  </si>
  <si>
    <t xml:space="preserve">Day 21</t>
  </si>
  <si>
    <t xml:space="preserve">LinkedIn + cold call works here</t>
  </si>
  <si>
    <t xml:space="preserve">Build Calendly/Cal.com + WhatsApp integration</t>
  </si>
  <si>
    <t xml:space="preserve">Day 18</t>
  </si>
  <si>
    <t xml:space="preserve">n8n workflow: WhatsApp → Calendar</t>
  </si>
  <si>
    <t xml:space="preserve">Wk 4</t>
  </si>
  <si>
    <t xml:space="preserve">Demo to 3 barbers + 2 gyms</t>
  </si>
  <si>
    <t xml:space="preserve">Day 28</t>
  </si>
  <si>
    <t xml:space="preserve">Video demo if walking in is hard</t>
  </si>
  <si>
    <t xml:space="preserve">All Phase 1</t>
  </si>
  <si>
    <t xml:space="preserve">Review: which idea got best response?</t>
  </si>
  <si>
    <t xml:space="preserve">Day 30</t>
  </si>
  <si>
    <t xml:space="preserve">Double down on winner</t>
  </si>
  <si>
    <t xml:space="preserve">Wk 5-8</t>
  </si>
  <si>
    <t xml:space="preserve">Winner Idea</t>
  </si>
  <si>
    <t xml:space="preserve">Onboard 5 paying clients</t>
  </si>
  <si>
    <t xml:space="preserve">Day 56</t>
  </si>
  <si>
    <t xml:space="preserve">Target R5,000+ MRR by end of Wk 8</t>
  </si>
  <si>
    <t xml:space="preserve">Build basic service delivery system</t>
  </si>
  <si>
    <t xml:space="preserve">Trello/Notion for client management</t>
  </si>
  <si>
    <t xml:space="preserve">Create case study from first 2 clients</t>
  </si>
  <si>
    <t xml:space="preserve">Video testimonial preferred</t>
  </si>
  <si>
    <t xml:space="preserve">Wk 9-12</t>
  </si>
  <si>
    <t xml:space="preserve">Scale</t>
  </si>
  <si>
    <t xml:space="preserve">Hire 1 VA to handle client onboarding</t>
  </si>
  <si>
    <t xml:space="preserve">Day 84</t>
  </si>
  <si>
    <t xml:space="preserve">R8,000/mo for part-time VA</t>
  </si>
  <si>
    <t xml:space="preserve">Launch second Phase 1 idea</t>
  </si>
  <si>
    <t xml:space="preserve">Based on market feedback</t>
  </si>
  <si>
    <t xml:space="preserve">Target: R20,000 MRR by Day 90</t>
  </si>
  <si>
    <t xml:space="preserve">Day 90</t>
  </si>
  <si>
    <t xml:space="preserve">20 clients × R1,000 avg</t>
  </si>
  <si>
    <t xml:space="preserve">🏢  BOS BUILD TRACK — 90-DAY PLAN TO LAUNCH ALL 60 BUSINESS OS TOOLS</t>
  </si>
  <si>
    <t xml:space="preserve">── BOS BUILD TRACK ──</t>
  </si>
  <si>
    <t xml:space="preserve">6-phase build plan for 60 Business OS tools</t>
  </si>
  <si>
    <t xml:space="preserve">Freedom Score Calculator (#40)</t>
  </si>
  <si>
    <t xml:space="preserve">Set up Next.js project + Supabase + Vercel account</t>
  </si>
  <si>
    <t xml:space="preserve">Day 3</t>
  </si>
  <si>
    <t xml:space="preserve">Use create-next-app, deploy to Vercel free tier immediately</t>
  </si>
  <si>
    <t xml:space="preserve">Build 10-question assessment form + scoring logic</t>
  </si>
  <si>
    <t xml:space="preserve">Paste build prompt into Cursor AI to scaffold the form</t>
  </si>
  <si>
    <t xml:space="preserve">Add OpenAI GPT-4 action plan generation</t>
  </si>
  <si>
    <t xml:space="preserve">Day 6</t>
  </si>
  <si>
    <t xml:space="preserve">Use API key from platform.openai.com — budget R200/mo</t>
  </si>
  <si>
    <t xml:space="preserve">Add Resend email capture + launch tool publicly</t>
  </si>
  <si>
    <t xml:space="preserve">Share link on LinkedIn — this generates leads for everything else</t>
  </si>
  <si>
    <t xml:space="preserve">One-Line Offer Generator (#45)</t>
  </si>
  <si>
    <t xml:space="preserve">Build offer generator UI + GPT-4 generation logic</t>
  </si>
  <si>
    <t xml:space="preserve">Paste build prompt into Cursor AI — 3-day build</t>
  </si>
  <si>
    <t xml:space="preserve">Add Stripe freemium (3 free → R150/mo)</t>
  </si>
  <si>
    <t xml:space="preserve">Stripe SA account needed — test with R1 transaction first</t>
  </si>
  <si>
    <t xml:space="preserve">Launch + share with 20 SA founders on LinkedIn</t>
  </si>
  <si>
    <t xml:space="preserve">Target: 10 paying users by end of Wk 2</t>
  </si>
  <si>
    <t xml:space="preserve">Revenue Reverse Engineer (#54)</t>
  </si>
  <si>
    <t xml:space="preserve">Build calculator + funnel chart + email capture</t>
  </si>
  <si>
    <t xml:space="preserve">Zero API cost — pure calculation + Resend for emails</t>
  </si>
  <si>
    <t xml:space="preserve">Launch on LinkedIn + WhatsApp groups</t>
  </si>
  <si>
    <t xml:space="preserve">Post "What's your daily activity target?" hook post with calculator link</t>
  </si>
  <si>
    <t xml:space="preserve">Win Wall App (#86)</t>
  </si>
  <si>
    <t xml:space="preserve">Build win submission form + public wall + Slack integration</t>
  </si>
  <si>
    <t xml:space="preserve">Install in your own Levinn team first as case study</t>
  </si>
  <si>
    <t xml:space="preserve">SOP Builder (#61)</t>
  </si>
  <si>
    <t xml:space="preserve">Build SOP generation form + OpenAI SOP writer</t>
  </si>
  <si>
    <t xml:space="preserve">Day 25</t>
  </si>
  <si>
    <t xml:space="preserve">The GPT-4 system prompt is the whole product — spend 3h on it</t>
  </si>
  <si>
    <t xml:space="preserve">Add team library + version control + PDF export</t>
  </si>
  <si>
    <t xml:space="preserve">Use html-pdf-node for PDF generation</t>
  </si>
  <si>
    <t xml:space="preserve">Add Stripe (R300/mo) + launch to SA ops managers</t>
  </si>
  <si>
    <t xml:space="preserve">Target: Levinn's ops team as first paying client</t>
  </si>
  <si>
    <t xml:space="preserve">All BOS Tools</t>
  </si>
  <si>
    <t xml:space="preserve">30-day review: which tool has most traction?</t>
  </si>
  <si>
    <t xml:space="preserve">Double down on whichever has most sign-ups or revenue</t>
  </si>
  <si>
    <t xml:space="preserve">Wk 5</t>
  </si>
  <si>
    <t xml:space="preserve">Offer Builder Tool (#41)</t>
  </si>
  <si>
    <t xml:space="preserve">Build offer wizard + AI offer writer + pricing calculator</t>
  </si>
  <si>
    <t xml:space="preserve">Day 35</t>
  </si>
  <si>
    <t xml:space="preserve">Paste build prompt into Cursor AI — 4-day build</t>
  </si>
  <si>
    <t xml:space="preserve">Offer Audit Tool (#46)</t>
  </si>
  <si>
    <t xml:space="preserve">Build audit scoring engine + rewrite + PDF report</t>
  </si>
  <si>
    <t xml:space="preserve">Price at R497/audit from day one — consulting-grade tool</t>
  </si>
  <si>
    <t xml:space="preserve">Wk 6</t>
  </si>
  <si>
    <t xml:space="preserve">ICP Builder (#49)</t>
  </si>
  <si>
    <t xml:space="preserve">Build ICP workshop + AI ICP generator + PDF export</t>
  </si>
  <si>
    <t xml:space="preserve">Day 42</t>
  </si>
  <si>
    <t xml:space="preserve">Add LinkedIn search string generator — huge B2B value</t>
  </si>
  <si>
    <t xml:space="preserve">Brand Positioning Canvas (#47)</t>
  </si>
  <si>
    <t xml:space="preserve">Build canvas wizard + one-page visual output</t>
  </si>
  <si>
    <t xml:space="preserve">The visual canvas output is the emotional hook</t>
  </si>
  <si>
    <t xml:space="preserve">Wk 7</t>
  </si>
  <si>
    <t xml:space="preserve">Outbound Engine (#52)</t>
  </si>
  <si>
    <t xml:space="preserve">Build sequence builder + Resend integration + response tracker</t>
  </si>
  <si>
    <t xml:space="preserve">Day 49</t>
  </si>
  <si>
    <t xml:space="preserve">Set up SPF/DKIM/DMARC for your sending domain on day 1</t>
  </si>
  <si>
    <t xml:space="preserve">Lead Dashboard (#55)</t>
  </si>
  <si>
    <t xml:space="preserve">Build kanban pipeline + AI next-action prompts + forecast</t>
  </si>
  <si>
    <t xml:space="preserve">Use @dnd-kit for drag-drop kanban board</t>
  </si>
  <si>
    <t xml:space="preserve">Wk 8</t>
  </si>
  <si>
    <t xml:space="preserve">Channel Planner (#51)</t>
  </si>
  <si>
    <t xml:space="preserve">Build channel scoring matrix + 90-day plan generator</t>
  </si>
  <si>
    <t xml:space="preserve">SA-specific channel scoring is the IP moat</t>
  </si>
  <si>
    <t xml:space="preserve">Revenue Breakdown Dashboard (#43)</t>
  </si>
  <si>
    <t xml:space="preserve">Build revenue categorisation + margin tracking + AI insight</t>
  </si>
  <si>
    <t xml:space="preserve">Start with manual revenue input — Xero API in v2</t>
  </si>
  <si>
    <t xml:space="preserve">Wk 9</t>
  </si>
  <si>
    <t xml:space="preserve">Founder Dependency Audit (#64)</t>
  </si>
  <si>
    <t xml:space="preserve">Build dependency intake + AI analysis + delegation roadmap</t>
  </si>
  <si>
    <t xml:space="preserve">Day 63</t>
  </si>
  <si>
    <t xml:space="preserve">High-ticket: charge R4000–8000 for done-with-you version</t>
  </si>
  <si>
    <t xml:space="preserve">QC Checklist App (#66)</t>
  </si>
  <si>
    <t xml:space="preserve">Build mobile-first checklist + photo upload + supervisor sign-off</t>
  </si>
  <si>
    <t xml:space="preserve">Test on actual phone before launch — mobile UX is critical</t>
  </si>
  <si>
    <t xml:space="preserve">Wk 10</t>
  </si>
  <si>
    <t xml:space="preserve">Ops Audit Tool (#62)</t>
  </si>
  <si>
    <t xml:space="preserve">Build 30-question intake + AI ops analysis + priority report</t>
  </si>
  <si>
    <t xml:space="preserve">Day 70</t>
  </si>
  <si>
    <t xml:space="preserve">Price at R497 per audit — consulting-grade output</t>
  </si>
  <si>
    <t xml:space="preserve">Onboarding Engine (#65)</t>
  </si>
  <si>
    <t xml:space="preserve">Build onboarding flow builder + client portal + auto-triggers</t>
  </si>
  <si>
    <t xml:space="preserve">Map your own Levinn client onboarding first</t>
  </si>
  <si>
    <t xml:space="preserve">Wk 11</t>
  </si>
  <si>
    <t xml:space="preserve">Issue Tracker (#76)</t>
  </si>
  <si>
    <t xml:space="preserve">Build issue log + kanban + Slack integration + recurring alert</t>
  </si>
  <si>
    <t xml:space="preserve">Day 77</t>
  </si>
  <si>
    <t xml:space="preserve">Simplest BOS-5 tool — launch fast + upsell to full suite</t>
  </si>
  <si>
    <t xml:space="preserve">Meeting OS (#73)</t>
  </si>
  <si>
    <t xml:space="preserve">Build agenda builder + AI summary + action tracker</t>
  </si>
  <si>
    <t xml:space="preserve">AI meeting summary is the hero feature — perfect GPT-4 prompt first</t>
  </si>
  <si>
    <t xml:space="preserve">Wk 12</t>
  </si>
  <si>
    <t xml:space="preserve">Scorecard HQ (#72)</t>
  </si>
  <si>
    <t xml:space="preserve">Build scorecard builder + traffic lights + 13-week trends</t>
  </si>
  <si>
    <t xml:space="preserve">Read Traction by Gino Wickman before building</t>
  </si>
  <si>
    <t xml:space="preserve">Review Engine (#75)</t>
  </si>
  <si>
    <t xml:space="preserve">Build review template + 360 feedback + AI bias check</t>
  </si>
  <si>
    <t xml:space="preserve">SA Labour Law BCEA compliance = huge trust builder with HR teams</t>
  </si>
  <si>
    <t xml:space="preserve">Values OS (#79)</t>
  </si>
  <si>
    <t xml:space="preserve">Build values definition wizard + hiring integration + culture score</t>
  </si>
  <si>
    <t xml:space="preserve">Bundle with Culture Hiring Tool (#74) for higher LTV</t>
  </si>
  <si>
    <t xml:space="preserve">Strategy Planner (#80)</t>
  </si>
  <si>
    <t xml:space="preserve">Build vision → OKR → 90-day sprint → PDF export</t>
  </si>
  <si>
    <t xml:space="preserve">Premium pricing: R3000/mo leadership team — target 10 clients = R30k MRR</t>
  </si>
  <si>
    <t xml:space="preserve">ALL TOOLS</t>
  </si>
  <si>
    <t xml:space="preserve">Review: MRR target R50,000 from BOS tool portfolio</t>
  </si>
  <si>
    <t xml:space="preserve">17 tools launched × avg 15 clients × R300/mo avg = R76,500 MRR potential</t>
  </si>
  <si>
    <t xml:space="preserve">🛠️  SYSTEM BUILD PROMPTS — PASTE INTO CURSOR AI / LOVABLE / CHATGPT TO BUILD EACH TOOL</t>
  </si>
  <si>
    <t xml:space="preserve">Copy the full prompt from the FULL SYSTEM PROMPT column → Paste into Cursor AI, Lovable.dev, or ChatGPT-4 → Add your Supabase/Stripe credentials → Build</t>
  </si>
  <si>
    <t xml:space="preserve">TOOL NAME</t>
  </si>
  <si>
    <t xml:space="preserve">FULL SYSTEM PROMPT (copy &amp; paste to build)</t>
  </si>
  <si>
    <t xml:space="preserve">TECH STACK</t>
  </si>
  <si>
    <t xml:space="preserve">ACCOUNTS NEEDED</t>
  </si>
  <si>
    <t xml:space="preserve">INFRA COST (R/mo)</t>
  </si>
  <si>
    <t xml:space="preserve">Build a WhatsApp AI customer support automation service for SA small businesses. This is a done-for-you service product, not a SaaS — you are the service provider. Stack: Next.js 14 (admin dashboard), WATI (WhatsApp Business API), OpenAI GPT-4, Supabase, Resend, Vercel. What to build: (1) Client admin dashboard — you log in and manage multiple client accounts. Each client has their business name, FAQ document, tone of voice, escalation contacts. (2) WATI webhook integration — incoming WhatsApp messages from client's number → WATI webhook → your server → GPT-4 analysis → WATI reply. (3) GPT-4 prompt builder — per client: system prompt includes their business info, FAQs, tone, escalation rules. (4) Fallback/escalation — if GPT confidence low or keyword detected (complaint, refund, manager), auto-reply "Let me connect you with a human" + notify client via email (Resend). (5) Conversation log — store all conversations per client in Supabase with date, client name, topic classification, resolution status. (6) Monthly report — client receives monthly PDF: total chats handled, top question categories, escalations triggered, hours saved estimate. To set up for a client: (a) Get their WATI API key + WhatsApp number. (b) Upload their FAQ doc. (c) Configure GPT-4 system prompt. (d) Test with 10 sample messages. (e) Go live. Price: R500–2000/mo per client. Setup fee: R1500–3000. Target first client: any local business in your area.</t>
  </si>
  <si>
    <t xml:space="preserve">Next.js 14, WATI API, OpenAI GPT-4, Supabase, Resend, Vercel</t>
  </si>
  <si>
    <t xml:space="preserve">WATI account (R800/mo shared), OpenAI API key, Supabase, Stripe, Vercel, WhatsApp Business verified number</t>
  </si>
  <si>
    <t xml:space="preserve">R1200–2000/mo for 10 clients</t>
  </si>
  <si>
    <t xml:space="preserve">Build an AI lead qualification system for SA real estate agents. Service model — you build and manage it per client. Stack: Next.js 14 (dashboard), Typeform or custom form, OpenAI GPT-4, Supabase, WhatsApp integration (WATI or Twilio), Resend, Vercel. What to build: (1) Lead intake form — embedded on client's website or Property24 profile: name, contact, budget range, area, property type, timeline. (2) GPT-4 qualification engine — analyses form responses against agent's criteria (min budget, areas they cover, property types). Outputs: HOT (book call now), WARM (follow up in 3 days), COLD (add to newsletter). (3) Auto-WhatsApp to agent — HOT leads trigger immediate WhatsApp to agent with lead summary + suggested first message to send. (4) Auto-WhatsApp to lead — WARM/HOT leads receive automated WhatsApp from agent's number: "Hi [name], I received your enquiry about properties in [area]. I'd love to show you some options..." (5) Lead dashboard — agent sees all leads, qualification scores, conversion funnel. (6) Monthly report — leads received, qualified, meetings booked, deals in pipeline. Revenue: R50–200 per qualified lead OR R1000–8000/mo retainer. First client target: DM top agents on Property24 and offer a 30-day free trial.</t>
  </si>
  <si>
    <t xml:space="preserve">Next.js 14, Typeform API or custom form, OpenAI GPT-4, WATI (WhatsApp), Supabase, Resend, Vercel</t>
  </si>
  <si>
    <t xml:space="preserve">WATI API, OpenAI API key, Typeform (optional), Supabase, Stripe, Vercel</t>
  </si>
  <si>
    <t xml:space="preserve">R1000–1500/mo for 5 clients</t>
  </si>
  <si>
    <t xml:space="preserve">Build an AI booking automation service for SA service businesses (barbers, dentists, gyms, tutors). Service model — set up once per client, charge monthly. Stack: Cal.com (open source scheduling, self-hosted or cloud), WATI (WhatsApp), n8n (workflow automation), OpenAI GPT-4, Supabase, Resend. How it works per client: (1) Set up Cal.com for client — configure services, staff, availability, buffer times. (2) n8n workflow: customer sends "book appointment" on WhatsApp → WATI webhook → n8n → GPT-4 extracts: service, preferred time, name → Cal.com API creates booking → WATI sends confirmation + Google Calendar invite. (3) Reminder automation: n8n sends WhatsApp reminders 24h and 2h before appointment. (4) Cancellation flow: customer replies CANCEL → n8n cancels booking + opens slot + notifies client. (5) No-show follow-up: if appointment not marked attended → auto WhatsApp to rebook. (6) Monthly report: bookings made, cancellations, no-shows, revenue booked (estimate). Pricing: R1000 setup + R1300–3000/mo maintenance. No-code setup using n8n (self-hosted on Hetzner ZA server — R200/mo). First client: walk into 5 local barbers with a live demo on your phone.</t>
  </si>
  <si>
    <t xml:space="preserve">Cal.com (open source), n8n (self-hosted), WATI, OpenAI GPT-4, Supabase, Hetzner VPS (n8n hosting)</t>
  </si>
  <si>
    <t xml:space="preserve">WATI account, n8n self-hosted on Hetzner (R200/mo), Cal.com cloud or self-hosted, OpenAI API, Google Calendar API</t>
  </si>
  <si>
    <t xml:space="preserve">R600–1000/mo for 10 clients</t>
  </si>
  <si>
    <t xml:space="preserve">Build a purpose-built SaaS tool for one specific SA niche. This prompt is for the TUTOR niche as the starting point — replicate for gyms, churches, NGOs. Tool name: TutorTrack SA. Stack: Next.js 14, Supabase, Tailwind CSS, Stripe, Resend, Vercel. Features: (1) Student management — add students, subjects, grade levels, parents' contact. (2) Session scheduling — book sessions, set recurring weekly slots, WhatsApp reminder to parent 1h before (via Resend/WATI). (3) Attendance tracker — mark present/absent per session. (4) Progress notes — tutor adds notes per session visible to parent. (5) Invoice generator — monthly invoice auto-generated per student based on sessions attended (PDF, Supabase Storage). (6) Parent portal — parents log in to see their child's schedule, attendance, notes, invoices. (7) Payment tracking — mark invoices paid, track outstanding. Pricing: R100–500/mo per tutor. Free 30-day trial. Why it works: SA tutors are extremely informal — most use WhatsApp + Excel. This is a massive step up with minimal training. Replicate for: Gym (membership + class booking), Church (event management + giving tracker), NGO (beneficiary management + donor reporting). Build the tutor version first and validate.</t>
  </si>
  <si>
    <t xml:space="preserve">Next.js 14, Supabase + Storage, Tailwind CSS, Stripe, Resend, Vercel</t>
  </si>
  <si>
    <t xml:space="preserve">Supabase, Stripe, Resend, Vercel (all low-cost)</t>
  </si>
  <si>
    <t xml:space="preserve">R400–700/mo at 50 subscribers</t>
  </si>
  <si>
    <t xml:space="preserve">Build an AI-powered outcome-based service agency. You sell results, not retainers. No SaaS to build — this is a service business with an AI-powered delivery system. Stack: n8n (workflows), OpenAI GPT-4, Clay.com or Apollo.io (lead enrichment), Instantly.ai (email outreach), WATI (WhatsApp), Google Sheets (reporting). Service 1 — AI Lead Generation: Promise X qualified leads per month. Use: Clay + Apollo to build targeted SA company lists → Instantly.ai to run personalised email sequences → GPT-4 to personalise first lines → WATI to follow up via WhatsApp. Price: R2000–10000/mo or R200 per qualified lead. Service 2 — AI Content + Social: Promise 30 posts/mo across LinkedIn + Instagram. Use: GPT-4 to generate content calendar + posts → Canva + brand assets → Buffer/Hootsuite to schedule. Price: R2000–5000/mo. Service 3 — AI Sales Scripts + Sequences: Promise full outbound system. Write scripts, sequences, objection handlers for client's sales team. Run it for them. Price: R3000–8000/mo. Delivery dashboard: Build a simple Next.js client portal showing live results — leads generated this month, posts published, response rate. This is optional but premium. First client: Offer outcome guarantee — "If we don't deliver X leads in 30 days, you don't pay for month 2."</t>
  </si>
  <si>
    <t xml:space="preserve">n8n, Clay.com, Instantly.ai, WATI, OpenAI GPT-4, Google Sheets, Next.js (client portal optional)</t>
  </si>
  <si>
    <t xml:space="preserve">Clay.com (~R900/mo), Instantly.ai (~R400/mo), WATI (~R800/mo), OpenAI API, Apollo.io (optional)</t>
  </si>
  <si>
    <t xml:space="preserve">R2500–4000/mo tools (covered by 1–2 clients)</t>
  </si>
  <si>
    <t xml:space="preserve">Build an AI automation service for SA small accounting firms. Service model — set up automations per firm, charge monthly. Stack: Xero or Sage API, OpenAI GPT-4, n8n (automation), Next.js 14 (client dashboard), Supabase, Resend. Automations to build per firm: (1) Bank reconciliation assistant — GPT-4 reviews unreconciled transactions and suggests matches with confidence score. Accountant approves/rejects. Saves 3–5 hours/week. (2) Invoice chaser — n8n checks Xero for overdue invoices daily → sends personalised WhatsApp/email reminder to debtor → logs response → escalates if 14+ days overdue. (3) SARS deadline alert — n8n monitors tax calendar per client → sends alerts to accountant and business owner 14 days and 3 days before each deadline. (4) Monthly management account generator — GPT-4 reads Xero P&amp;L and Balance Sheet → generates a plain-English management commentary (what changed, what to watch, what questions to ask). (5) Client onboarding pack — new client? GPT-4 generates: engagement letter, FICA checklist, fee proposal, first-meeting agenda. Admin dashboard: accountant sees all clients, outstanding reconciliations, upcoming SARS deadlines, overdue invoices. Pricing: R1000–5000/mo per firm. Target: SA accounting firms with 20–100 clients.</t>
  </si>
  <si>
    <t xml:space="preserve">Next.js 14, Xero API (OAuth2), Sage API, n8n, OpenAI GPT-4, Supabase, Resend, Vercel</t>
  </si>
  <si>
    <t xml:space="preserve">Xero developer account, Sage API credentials, n8n (self-hosted R200/mo or cloud R500/mo), OpenAI API, Supabase, Vercel</t>
  </si>
  <si>
    <t xml:space="preserve">Build an AI assistant service for SA estate agents. Service model — set up per agent or agency, charge monthly retainer. Stack: WATI (WhatsApp), OpenAI GPT-4, n8n, Resend, Canva API (for listing graphics), Next.js 14 (dashboard), Supabase. Automations per agent: (1) Listing inquiry bot — buyer messages the agent's WhatsApp about a listing → GPT-4 qualifies them (budget, area, timeline, pre-approval status) → HOT leads get immediate call request + agent notification. (2) Listing description generator — agent pastes property specs → GPT-4 generates premium listing description in English + Afrikaans (huge SA differentiator). (3) Buyer follow-up sequences — n8n sends automated WhatsApp follow-ups to leads who went quiet: day 3, day 7, day 14, day 30. Personalised per lead's interest. (4) Offer-to-transfer tracker — agent logs offer accepted → n8n tracks all transfer milestones (bond application, approval, conveyancer, registration) and notifies buyer + seller at each step automatically. (5) Market update newsletter — GPT-4 generates monthly area market report (price trends, stock levels, days on market) sent to agent's database via Resend. Dashboard: agent sees all active leads, follow-up schedules, listing performance, transfer pipeline. Pricing: R800–3000/mo. Target: Top 20 agents on Private Property or Property24 in your area.</t>
  </si>
  <si>
    <t xml:space="preserve">Next.js 14, WATI, OpenAI GPT-4, n8n, Resend, Supabase, Vercel</t>
  </si>
  <si>
    <t xml:space="preserve">WATI API, n8n (self-hosted R200/mo), OpenAI API, Supabase, Resend, Vercel</t>
  </si>
  <si>
    <t xml:space="preserve">R1000–1500/mo for 10 agents</t>
  </si>
  <si>
    <t xml:space="preserve">Build an AI social media content service for SA small businesses. Service OR SaaS model. Stack (SaaS version): Next.js 14, Supabase, OpenAI GPT-4, Meta Graph API (schedule Instagram/Facebook), Buffer API (multi-platform scheduling), Canva API (graphics), Stripe, Vercel. Features: (1) Brand onboarding — input business name, industry, tone of voice (professional/fun/bold), target audience, products/services, 5 competitor handles. (2) Monthly content calendar — GPT-4 generates 30 content ideas per month: mix of educational, promotional, behind-the-scenes, testimonial, trending. (3) Post writer — GPT-4 writes full captions with hooks, body, CTA, hashtag sets for each post. (4) Graphic templates — Canva-style templates per post type with brand colours and logo slot. (5) Auto-scheduling — posts publish to Instagram + Facebook at optimal SA engagement times (7am, 12pm, 7pm SAST). (6) Performance tracker — pulls Meta insights: reach, engagement, saves per post. Shows what content performs best. (7) Repurpose engine — takes top-performing post → GPT-4 rewrites for LinkedIn + WhatsApp Status. Pricing: R500–1500/mo (SaaS), R2000–5000/mo (done-for-you service). Start with the service model — no build required. Use GPT-4 + Canva + Buffer manually. Build the SaaS when you have 10+ clients paying.</t>
  </si>
  <si>
    <t xml:space="preserve">Next.js 14, Supabase, OpenAI GPT-4, Meta Graph API, Buffer API, Canva API, Stripe, Vercel</t>
  </si>
  <si>
    <t xml:space="preserve">OpenAI API, Meta developer account, Buffer subscription (R300/mo), Canva Pro, Supabase, Stripe, Vercel</t>
  </si>
  <si>
    <t xml:space="preserve">R800–1500/mo at 20 clients</t>
  </si>
  <si>
    <t xml:space="preserve">Build an AI-powered cold outreach agency that books meetings for SA B2B companies. You are the agency — no SaaS needed. Stack: Apollo.io or Clay (lead sourcing), Instantly.ai (email sequences), WATI (WhatsApp outreach), OpenAI GPT-4 (personalisation), LinkedIn Sales Navigator (optional), Google Sheets (reporting), Next.js 14 (client dashboard optional). Delivery process per client: (1) ICP definition — work with client to define their ideal target: industry, company size, revenue, job title of decision-maker. (2) Lead list building — use Apollo.io to pull 500–1000 SA companies matching ICP with verified email addresses. (3) AI personalisation — use Clay or GPT-4 API to write a unique, personalised first line for each prospect based on their LinkedIn, company news, or job description. (4) Email sequences — 5-touch sequence in Instantly.ai: Day 1 (personalised intro), Day 3 (value add), Day 7 (social proof), Day 14 (breakup), Day 21 (last attempt). (5) WhatsApp follow-up — for opened-but-no-reply, send a WhatsApp message on day 10 via WATI. (6) Reporting — weekly update: emails sent, open rate, reply rate, meetings booked. Revenue model: R1500–3000 setup fee + R500/meeting booked or R3000–5000/mo retainer. Target: SA professional services companies (accountants, lawyers, insurance brokers, consultants) who need B2B leads.</t>
  </si>
  <si>
    <t xml:space="preserve">Apollo.io, Clay.com, Instantly.ai, WATI, OpenAI GPT-4, Google Sheets, LinkedIn Sales Navigator (optional)</t>
  </si>
  <si>
    <t xml:space="preserve">Apollo.io (R600/mo), Instantly.ai (R400/mo), WATI (R800/mo), Clay.com (R900/mo), OpenAI API</t>
  </si>
  <si>
    <t xml:space="preserve">R2700–3500/mo tools (covered by 1 retainer client)</t>
  </si>
  <si>
    <t xml:space="preserve">Build an AI data capture and admin automation service for SA logistics companies and offices. Service model — scoped per client project. Stack: Next.js 14 (admin portal), Python (OCR processing), Supabase, Tesseract OCR or Google Vision API, OpenAI GPT-4, n8n, Vercel. Automations to offer: (1) Invoice/delivery note OCR — client uploads photos/PDFs of paper invoices or delivery notes → Google Vision API extracts all fields (supplier, date, amount, line items) → GPT-4 validates and structures → auto-pushes to client's Xero/Sage/Google Sheets. Saves: 3–8 hours/day for 1 data capturer. (2) POD (proof of delivery) processing — driver takes photo of signed POD → OCR extracts customer signature, delivery date, items → auto-updates dispatch system → notifies accounts for billing. (3) Email-to-data extraction — n8n monitors inbox → GPT-4 reads incoming order emails → extracts: customer, delivery address, items, quantity, special instructions → creates order record in system automatically. (4) Quote request auto-responder — customer emails quote request → GPT-4 extracts requirements → checks price list → generates and emails back quote PDF within 5 minutes automatically. Pricing: R5000–15000 setup + R3000–8000/mo maintenance retainer. Target: logistics companies, wholesalers, construction material suppliers, import/export companies in SA.</t>
  </si>
  <si>
    <t xml:space="preserve">Next.js 14, Python, Google Vision API, OpenAI GPT-4, n8n, Supabase, Xero API, Vercel</t>
  </si>
  <si>
    <t xml:space="preserve">Google Vision API key, OpenAI API, n8n (self-hosted R200/mo), Supabase, Xero API, Vercel</t>
  </si>
  <si>
    <t xml:space="preserve">R1500–2500/mo for 5 clients</t>
  </si>
  <si>
    <t xml:space="preserve">Build a full-stack AI automation company serving one specific SA industry vertically. This is a company, not a single product. Recommended starting vertical: SA LOGISTICS / FREIGHT. Why logistics: large, tech-underserved, high paperwork volume, ZAR-based contracts, strong local demand. What you build (full vertical AI stack for freight companies): (1) AI Dispatch Coordinator — WhatsApp chatbot for drivers and clients to log pickups, ETAs, delays. GPT-4 generates dispatch reports. (2) POD + Invoice Automation — OCR captures delivery notes and pushes to accounting system. (3) Fleet Tracking Dashboard — integrate GPS tracking APIs, show all vehicles + jobs on live map. (4) Driver Communication Portal — structured job allocation, route optimisation suggestions, driver performance scores. (5) Client Portal — clients log in to see their shipments, ETAs, PODs, invoices. (6) Compliance Calendar — RTMS, AARTO, vehicle licence renewals tracked and alerted. Stack: Next.js 14, Supabase, OpenAI GPT-4, WATI, Google Maps API, n8n, Stripe, Vercel. Pricing: R5000–20000/mo per freight company. Target 10 companies = R50k–200k MRR. Build strategy: Start with ONE automation (POD processing) for ONE company. Expand product suite with each client win.</t>
  </si>
  <si>
    <t xml:space="preserve">Next.js 14, Supabase, OpenAI GPT-4, WATI, Google Maps API, n8n, Stripe, Vercel, Tesseract/Google Vision</t>
  </si>
  <si>
    <t xml:space="preserve">Supabase, OpenAI API, WATI, Google Maps API, Google Vision API, n8n, Stripe, Vercel</t>
  </si>
  <si>
    <t xml:space="preserve">R3000–5000/mo (covered after 1 client)</t>
  </si>
  <si>
    <t xml:space="preserve">Build an AI Agent Workforce deployment service for mid-size SA companies. You design, deploy and manage a team of AI agents that replace or augment specific departments. This is a managed service + software. Stack: Next.js 14 (agent management dashboard), OpenAI Assistants API or CrewAI (multi-agent orchestration), Supabase, n8n, WATI, various third-party APIs per agent function. Agent types you deploy: (1) Customer Service Agent — handles all WhatsApp/email inquiries, escalates when needed. (2) Sales Follow-up Agent — monitors CRM for cold leads, sends personalised follow-ups on schedule. (3) Accounts Receivable Agent — chases overdue invoices via WhatsApp and email. (4) Social Media Agent — publishes scheduled content, monitors comments, flags negative sentiment. (5) HR Admin Agent — answers employee FAQs, processes leave requests, sends payroll reminders. (6) Data Analyst Agent — reads weekly reports, generates management commentary, flags anomalies. Management dashboard: client can see all agents, their status, actions taken today, escalations pending, cost per agent per day. Pricing: R5000–20000/mo for 3–6 deployed agents. R10000+ setup per agent. Target: SA companies with 50–500 staff who want to reduce admin headcount without retrenching.</t>
  </si>
  <si>
    <t xml:space="preserve">Next.js 14, OpenAI Assistants API, CrewAI or LangGraph, Supabase, n8n, WATI, Stripe, Vercel</t>
  </si>
  <si>
    <t xml:space="preserve">OpenAI API (Assistants), Supabase, n8n, WATI, Stripe, Vercel — plus client-specific API keys</t>
  </si>
  <si>
    <t xml:space="preserve">R3000–6000/mo (covered after 1 enterprise client)</t>
  </si>
  <si>
    <t xml:space="preserve">Build an AI agent hiring and orchestration platform — a marketplace and management system where businesses can hire specialised AI agents for specific functions. Stack: Next.js 14, Supabase, OpenAI Assistants API, LangChain or CrewAI, Stripe Connect (agent marketplace payments), Vercel. Platform components: (1) Agent marketplace — browse pre-built AI agents by function (sales, support, finance, HR, marketing). Each agent has a profile: what it does, integrations it supports, pricing per month. (2) Agent deployment wizard — business selects an agent → configures it (uploads their docs, connects their tools, sets their preferences) → agent goes live. (3) Agent orchestration layer — agents can communicate with each other (e.g. lead gen agent passes qualified leads to sales follow-up agent). (4) Performance dashboard — per agent: tasks completed, errors, cost (tokens used), ROI estimate. (5) Agent builder (v2) — allow power users to build their own agents using a no-code visual editor. (6) Billing: per-agent monthly subscription via Stripe Connect. Revenue: R5000–20000/mo per company deploying 3–6 agents. This is a PLATFORM play — start with 5 pre-built agents for the SA market.</t>
  </si>
  <si>
    <t xml:space="preserve">Next.js 14, Supabase, OpenAI Assistants API, CrewAI/LangGraph, Stripe Connect, Vercel</t>
  </si>
  <si>
    <t xml:space="preserve">OpenAI API (Assistants), Supabase, Stripe Connect, Vercel — significant API costs at scale</t>
  </si>
  <si>
    <t xml:space="preserve">R5000–15000/mo (high API costs — need 3+ enterprise clients to cover)</t>
  </si>
  <si>
    <t xml:space="preserve">Build a consulting agency that takes existing SA SaaS products and converts them from "tool subscriptions" to "outcome guarantees." You restructure their pricing, onboarding, and delivery model. This is pure consulting — no SaaS to build. Stack: Google Docs (proposals), Notion (client management), Loom (video deliverables), Calendly (booking), Stripe (consulting invoices). Service structure: (1) SaaS Audit (R5000 fixed) — 3-hour audit of client's SaaS business. Deliverable: 20-page report covering: churn reasons, onboarding failures, pricing model weaknesses, outcome gaps. (2) Outcome Model Design (R15000) — redesign their pricing from subscription to outcome-based. Deliverable: new pricing model, onboarding flow, success milestones, guarantee framework. (3) Implementation Retainer (R10000–50000/mo) — embed as fractional CRO/CPO. Run experiments, rewrite onboarding, restructure sales deck. (4) Revenue Share Deal — take 5–15% of revenue uplift instead of consulting fee (high risk, high reward). Target clients: SA SaaS companies with R200k–2M ARR that are struggling with churn or growth plateaus. How to find them: LinkedIn search "SaaS" + "South Africa" + founder titles. Offer the R5000 SaaS audit as the entry point — low-risk for them, high-value for you.</t>
  </si>
  <si>
    <t xml:space="preserve">Notion, Google Docs, Loom, Calendly, Stripe — no code required</t>
  </si>
  <si>
    <t xml:space="preserve">Notion (R300/mo), Loom (R400/mo), Stripe (fees only), Calendly (free)</t>
  </si>
  <si>
    <t xml:space="preserve">R800/mo tools</t>
  </si>
  <si>
    <t xml:space="preserve">Build an AI-powered cybersecurity audit and monitoring service for SA SMEs and enterprises. Service + software model. Stack: Next.js 14 (security dashboard), Python (vulnerability scanning scripts), OpenAI GPT-4, Supabase, Resend, Vercel. Service tiers: (1) AI Security Audit (R5000–15000 once-off): Scan client's digital footprint: domain/DNS config, exposed credentials (HaveIBeenPwned API), open ports (Shodan API), outdated software, phishing exposure. GPT-4 generates a plain-English board-level security report with risk score and priority fixes. (2) AI Security Monitoring (R5000–25000/mo): Ongoing monitoring dashboard that tracks: dark web mentions of client's domain/email (via dark web APIs), phishing site detection, SSL certificate expiry, suspicious login alerts. (3) Employee AI Security Training (R2000/mo): GPT-4 generates monthly phishing simulation emails. Staff who click receive immediate training. Dashboard shows which employees are highest risk. (4) POPIA Compliance Checker: GPT-4 audits client's data handling practices against POPIA requirements. Deliverable: gap analysis + remediation plan. SA context: POPIA penalties (up to R10m) make this extremely high-priority for SA businesses. This is a massive selling point. First target: SA professional services firms (attorneys, accountants, healthcare) who hold sensitive data.</t>
  </si>
  <si>
    <t xml:space="preserve">Next.js 14, Python, Shodan API, HaveIBeenPwned API, OpenAI GPT-4, Supabase, Resend, Vercel</t>
  </si>
  <si>
    <t xml:space="preserve">Shodan API (R500/mo), HaveIBeenPwned API, OpenAI API, Supabase, Vercel — plus cybersecurity certifications</t>
  </si>
  <si>
    <t xml:space="preserve">R2000–4000/mo tools</t>
  </si>
  <si>
    <t xml:space="preserve">Build an AI business intelligence platform that replaces traditional BI dashboards with conversational AI insights. Instead of a dashboard full of charts, the CEO asks questions in plain English and gets answers. Stack: Next.js 14, Supabase, OpenAI GPT-4 with function calling, Recharts, Google BigQuery or Supabase (data warehouse), Stripe, Vercel. Core architecture: (1) Data connector layer — connect client's data sources: Xero (financials), HubSpot (CRM), Google Analytics (traffic), Supabase (app data), Google Sheets (custom data). Data syncs to a central data warehouse daily. (2) Schema understanding — GPT-4 reads the database schema and learns what each table/column means. (3) Natural language query — CEO types "What were our top 5 revenue sources last month?" → GPT-4 generates SQL → runs against warehouse → returns data → GPT-4 formats answer as: (a) plain English summary, (b) one chart, (c) recommended action. (4) Proactive alerts — GPT-4 monitors key metrics daily. If revenue drops 15% vs same day last week → sends WhatsApp alert with explanation and suggested cause. (5) Weekly CEO briefing — automated Monday morning email with: what happened last week, key anomalies, what to watch this week. Pricing: R500–5000/mo based on data sources connected. Target: SA companies with 20+ staff and multiple systems.</t>
  </si>
  <si>
    <t xml:space="preserve">Next.js 14, Supabase, OpenAI GPT-4 (function calling), Recharts, Xero API, HubSpot API, Stripe, Vercel</t>
  </si>
  <si>
    <t xml:space="preserve">Supabase (data warehouse), OpenAI API, Xero API, HubSpot API, Stripe, Vercel</t>
  </si>
  <si>
    <t xml:space="preserve">R3000–6000/mo (API costs at scale)</t>
  </si>
  <si>
    <t xml:space="preserve">Build an AI-native CRM for SA SME sales teams that replaces Salesforce/HubSpot at 1/10th the price with AI built in. Stack: Next.js 14, Supabase (real-time), Tailwind CSS, OpenAI GPT-4, Resend, WATI (WhatsApp sync), Stripe, Vercel. Core CRM features: (1) Contact + company database — full contact profiles with interaction history, notes, deal stages. (2) Deal pipeline — visual kanban with probability scoring and forecasted close values. (3) AI meeting prep — before any call/meeting, AI generates: quick profile summary, last 3 interaction points, suggested agenda, open questions. (4) Auto-capture — email + WhatsApp conversations automatically logged to contact record (WATI webhook + Gmail API). (5) AI next action — after every interaction, GPT-4 suggests the most important next step per deal. (6) Follow-up automation — deals with no activity in X days trigger automated nurture (email or WhatsApp via WATI). (7) Pipeline health score — weekly score per rep and per manager. (8) Revenue forecast — weighted pipeline forecast by stage probability. (9) WhatsApp CRM mode — sales reps update deals via WhatsApp commands (no laptop needed). Pricing: R300/mo per user (Starter), R2000/mo up to 10 users (Team). Target: SA companies currently running sales on spreadsheets or WhatsApp alone.</t>
  </si>
  <si>
    <t xml:space="preserve">Next.js 14, Supabase (realtime), OpenAI GPT-4, WATI (WhatsApp), Gmail API, Tailwind CSS, Stripe, Vercel</t>
  </si>
  <si>
    <t xml:space="preserve">Supabase, OpenAI API, WATI API, Gmail API, Stripe, Vercel</t>
  </si>
  <si>
    <t xml:space="preserve">R2000–4000/mo at 100 users</t>
  </si>
  <si>
    <t xml:space="preserve">Build a SaaS called AI Template Generator. It lets SA marketers and agencies generate any business document, email, proposal, or content piece using AI in under 60 seconds. Stack: Next.js 14, Supabase, Tailwind CSS, OpenAI GPT-4, Stripe, Resend, Vercel. Core features: (1) Template library — 200+ SA-relevant templates across categories: sales emails, proposals, job descriptions, social posts, invoices, meeting agendas, NDA summaries, marketing copy, WhatsApp messages. (2) Smart generator — user selects template type → fills in 3–5 key variables (company name, product, target audience) → GPT-4 generates a polished, on-brand output. (3) Brand voice training — user uploads 3 examples of their writing → GPT-4 learns their brand voice → all future templates match that style. (4) Template history — save, edit and reuse generated templates. (5) Team library — share approved templates across the whole company. (6) Bulk generation — generate 50 personalised versions of one template (e.g. 50 personalised cold emails for different prospects). (7) SA-specific templates — CIPC registration letter, SARS objection letter, BBBEE compliance request, SA lease agreement summary. Pricing: R200/mo (50 credits), R500/mo (unlimited), R1000/mo (team). SA context: SA businesses deal with complex documents (SARS, CIPC, labour law, BEE) that have no good AI templates yet — massive gap.</t>
  </si>
  <si>
    <t xml:space="preserve">Next.js 14, Supabase, OpenAI GPT-4, Tailwind CSS, Stripe, Resend, Vercel</t>
  </si>
  <si>
    <t xml:space="preserve">Supabase, OpenAI API, Stripe, Resend, Vercel</t>
  </si>
  <si>
    <t xml:space="preserve">R600–1200/mo at 200 users</t>
  </si>
  <si>
    <t xml:space="preserve">Build a review and reputation platform for AI agents — where developers and businesses rate, review and discover AI agents. This is a LONG-HORIZON platform play (18–36 month build). Stack: Next.js 14, Supabase, Tailwind CSS, Algolia (search), Stripe, Vercel. Phase 1 MVP (months 1–6): (1) Agent listings — any developer can submit an AI agent for free: name, description, category, API endpoint, pricing, documentation. (2) Verified reviews — businesses that have used an agent can post star ratings + written reviews across dimensions: accuracy, reliability, speed, cost-efficiency, support. (3) Agent categories — by function: customer service, sales, data analysis, content, coding, research, HR. (4) Search + filter — find agents by: category, rating, price, language support, SA-compliance. (5) Comparison tool — compare 2–3 agents side by side. Revenue model (months 6–18): (a) Featured listings (R5000/mo per agent). (b) Verified badge (R2000/mo). (c) API access for enterprise (R5000–50000/mo). (d) Commission on referrals (5% of first year revenue). SA angle: Position as the authoritative SA AI agent registry — POPIA compliant, ZAR-priced, local support. This is a media/platform business, not a SaaS. Build audience first, monetise second.</t>
  </si>
  <si>
    <t xml:space="preserve">Next.js 14, Supabase, Algolia (search), Tailwind CSS, Stripe, Vercel</t>
  </si>
  <si>
    <t xml:space="preserve">Supabase, Algolia (R400/mo), Stripe, Vercel — low infra cost in early phase</t>
  </si>
  <si>
    <t xml:space="preserve">R800–1500/mo early stage</t>
  </si>
  <si>
    <t xml:space="preserve">Build a commercial marketplace where SA businesses can hire, deploy and pay for AI agents the same way they hire freelancers on UpWork. Long-horizon platform (24–36 months). Stack: Next.js 14, Supabase, Stripe Connect, OpenAI, LangChain/CrewAI, Vercel. Platform architecture: (1) Agent storefront — browse AI agents by job type: "I need someone to handle my WhatsApp support" → see 5 agent options with pricing, capabilities, reviews. (2) One-click deployment — business selects agent → configures it (upload docs, connect APIs) → agent goes live in their stack within 24 hours. (3) Agent builder tools — developers build and list custom agents on the marketplace. Revenue split: 80% to developer, 20% platform. (4) Stripe Connect billing — businesses pay per task, per hour, or monthly subscription. Payments automatically split between platform and agent developer. (5) Performance guarantees — marketplace offers SLA per agent: if accuracy drops below X%, partial refund. (6) Enterprise contracts — corporates can negotiate custom agents for specific use cases. Revenue: 20% marketplace commission + enterprise licensing. SA competitive advantage: first SA-built AI agent marketplace = regulatory compliance (POPIA), ZAR pricing, local payment methods (PayFast/Peach Payments). Target for first 6 months: 20 SA-built AI agents listed, 50 SA businesses using at least 1 agent.</t>
  </si>
  <si>
    <t xml:space="preserve">Next.js 14, Supabase, Stripe Connect, OpenAI API, LangChain/CrewAI, Vercel, PayFast API</t>
  </si>
  <si>
    <t xml:space="preserve">Supabase, Stripe Connect, OpenAI API, Vercel, PayFast/Peach Payments SA</t>
  </si>
  <si>
    <t xml:space="preserve">R5000–15000/mo at scale</t>
  </si>
  <si>
    <t xml:space="preserve">Build an AI-native social network for AI agents — where agents interact, collaborate, share data and learn from each other in a structured environment. VERY LONG horizon — 36–60 months. This is a research + infrastructure project that eventually becomes a platform. Stack: Next.js 14, Supabase (graph database), OpenAI API, custom agent runtime, WebSockets (real-time), Vercel. Concept: Agents are first-class citizens on this network — they have profiles, followers, specialisations, reputation scores. Humans supervise but don't operate. Use cases: (1) Agent collaboration — a research agent and a writing agent collaborate to produce a report automatically. (2) Agent marketplace for tasks — business posts a task ("summarise 50 contracts") → agents bid → best-qualified agent executes. (3) Agent training data network — agents share anonymised learnings to improve each other (with owner consent). Phase 1 (year 1): Build a developer API and community where SA AI developers register their agents and define collaboration protocols. Phase 2 (year 2–3): Add the social layer (reputation, specialisation, agent-to-agent messaging). Phase 3 (year 4+): Open to enterprise. This is a venture-backed, moonshot-level business. SA positioning: African AI infrastructure play. Build alongside a research partnership with a SA university.</t>
  </si>
  <si>
    <t xml:space="preserve">Next.js 14, Supabase, OpenAI API, WebSockets, custom agent runtime, Vercel</t>
  </si>
  <si>
    <t xml:space="preserve">Significant engineering team + VC funding required</t>
  </si>
  <si>
    <t xml:space="preserve">R50000–500000/mo at scale</t>
  </si>
  <si>
    <t xml:space="preserve">Build a platform where entrepreneurs input their business idea and AI builds, runs and optimises the business autonomously. This is a 36–60 month moonshot. Stack: Next.js 14, OpenAI GPT-4 (with function calling), CrewAI/LangGraph (agent orchestration), Supabase, Stripe, Vercel, plus 50+ API integrations. The platform does: (1) Business plan generation — user describes idea → AI generates: market analysis, ICP, revenue model, pricing, go-to-market plan. (2) Entity setup — files company with CIPC, registers for VAT/PAYE via SARS e-Filing (where API allows). Opens bank account recommendation. (3) Product creation — for digital products: AI writes code (Next.js), designs UI (Tailwind + Figma AI), deploys to Vercel, connects Stripe. (4) Marketing automation — AI writes and schedules content, runs Google Ads, manages SEO, sends outbound emails. (5) Sales automation — AI responds to leads, qualifies, books calls, sends proposals. (6) Operations — AI manages suppliers, tracks inventory, processes orders, handles customer service. (7) Finance — AI reconciles bank statements, generates management accounts, calculates VAT, pays suppliers. Human role: set direction and review quarterly. AI role: everything else. This is the 10-year vision. Start with one module: the business plan generator.</t>
  </si>
  <si>
    <t xml:space="preserve">Next.js 14, OpenAI GPT-4, CrewAI/LangGraph, Supabase, Stripe, Vercel + 50+ API integrations</t>
  </si>
  <si>
    <t xml:space="preserve">Massive engineering investment + VC funding required</t>
  </si>
  <si>
    <t xml:space="preserve">R100000+/mo at scale</t>
  </si>
  <si>
    <t xml:space="preserve">Build an AI-powered business incubator that uses AI to de-risk early-stage SA startups. Hybrid model: equity + services + platform. Structure: (1) Cohort selection — 10 startups per cohort, 3 cohorts per year. Entry: R0 in, give 5–10% equity. (2) AI-assisted validation — GPT-4 stress-tests each startup's assumptions: market size, unit economics, ICP. Generates a "Kill or Scale" verdict with evidence. (3) AI-accelerated build — each startup gets: access to the AI Tools Suite (60 BOS tools), dedicated AI agent for their domain, weekly AI-generated growth experiments. (4) Funding prep — AI generates: investor deck, financial model, data room documents, pitch script. (5) Investor network — partners with SA VCs (Knife Capital, Quona, 4Di) for demo day. (6) Portfolio management platform — track all portfolio companies' KPIs, funding rounds, valuations in one dashboard. Revenue: (a) Equity (5–10% per company). (b) Consulting services sold to portfolio (R50000/mo). (c) SaaS tools license (R5000/mo per company). (d) Carry from exits. SA context: SA startup ecosystem needs an AI-native incubator. Most incubators are still manual. First cohort target: 10 pre-seed SA tech startups. Minimum viable version: run the first cohort manually using GPT-4 + Notion + Zoom. Build the platform technology in year 2.</t>
  </si>
  <si>
    <t xml:space="preserve">Next.js 14, Supabase, OpenAI GPT-4, Notion API, Stripe, Vercel — plus physical space and legal structure</t>
  </si>
  <si>
    <t xml:space="preserve">Trust/company structure, Supabase, OpenAI API, Notion, legal/accounting advisors</t>
  </si>
  <si>
    <t xml:space="preserve">R200000+/cohort (pre-funded by initial sponsors or own capital)</t>
  </si>
  <si>
    <t xml:space="preserve">Build a premium certification brand that authenticates human-created work as AI-free, for luxury brands, publishers, law firms and premium service providers. This is a brand + certification business, not a SaaS. Structure: (1) Certification standards — define what qualifies as "Human-Made": no AI generation in core creation, AI tools permitted only for editing/spell-check. (2) Assessment process — certified assessors review submitted work using detection tools (GPTZero, Copyleaks) + human review. (3) Certification mark — premium logo and seal licensed to certified creators and products. (4) Registry — public database where anyone can verify a certification is legitimate. (5) Tiered certification — Individual Creator, Studio, Enterprise (luxury brand). (6) Renewal — annual re-certification required. Revenue: (a) Application fee: R5000–50000 depending on tier. (b) Annual renewal: 50% of application. (c) Licensing mark fee: R2000/mo per product. (d) Enterprise consulting (R200000+). SA angle: Position as the Africa-based global standard for human authenticity in creative and professional work. Partner with law societies, literary bodies, creative guilds first. Launch as a non-profit or industry body for credibility.</t>
  </si>
  <si>
    <t xml:space="preserve">Next.js 14 (registry website), Supabase, Stripe, Vercel — plus legal entity, assessors, brand design</t>
  </si>
  <si>
    <t xml:space="preserve">Legal entity registration, brand design budget (R50000+), Stripe, Supabase, Vercel</t>
  </si>
  <si>
    <t xml:space="preserve">R3000–5000/mo platform (low — revenue comes from certification fees)</t>
  </si>
  <si>
    <t xml:space="preserve">Build a physical experience business that capitalises on the growing demand for authentic human experiences in an AI-saturated world. This is a physical/events business, not a software product. SA context: SA consumers are highly social, love in-person events, and the experience economy is underserved outside Cape Town/Joburg CBDs. Concept options: (1) "Human Intelligence" Dinners — curated dinner events where the rule is: no phones, no AI, only human conversation. Charge R500–2000 per seat. Monthly. (2) AI-Free Maker Spaces — physical coworking studios where no AI tools are used. For writers, artists, craftspeople who want to prove their work is human-made. Membership R2000–5000/mo. (3) The Founder's Table SA — monthly invite-only dinner for 12 SA founders to share real challenges, no pitching allowed. Sponsorship + attendance fee. (4) "The Unplugged Retreat" — 3-day retreat for burnt-out founders. No tech allowed. Combine with Levinn Protective Solutions / your existing business network for reach. Revenue model: Event tickets + memberships + sponsorships + venue hire + Levinn brand visibility. Build with: Eventbrite (event booking), Stripe (payments), social media (distribution), your existing SA business network (first 50 attendees). SA competitive advantage: SA event market is hungry for premium, curated, exclusive experiences. The "anti-AI" positioning is a powerful differentiator in 2025–2026.</t>
  </si>
  <si>
    <t xml:space="preserve">Eventbrite, Stripe, social media — physical logistics, no build required</t>
  </si>
  <si>
    <t xml:space="preserve">Stripe, Eventbrite (free tier), physical venue costs, catering</t>
  </si>
  <si>
    <t xml:space="preserve">R5000–20000 per event (cost) — revenue should 3–5x this</t>
  </si>
  <si>
    <t xml:space="preserve">Build an EdTech platform that trains SA entrepreneurs to work effectively with AI agents — the skill that will define the next decade of business. Stack: Next.js 14, Supabase + Storage, Tailwind CSS, Mux (video), OpenAI GPT-4, Stripe, Resend, Vercel. Content architecture: Phase 1 — Foundations (free or low-cost lead-in): (1) What are AI agents and how do they work? (2) The 5 SA business functions to automate first. (3) Prompt engineering for business outcomes. Phase 2 — Tools Mastery (R500–2000/mo): (4) WATI + GPT-4: Build your WhatsApp AI support. (5) n8n mastery: Connect your business tools without code. (6) Supabase + OpenAI: Build your first SaaS in 30 days. (7) Clay + Instantly: Build an AI outbound machine. Phase 3 — Advanced Agent Building (R3000–5000/mo or enterprise): (8) CrewAI and multi-agent systems. (9) Building production-grade agent pipelines. (10) Deploying agents for clients (how to build an AI agency). Live coaching layer: Weekly group coaching calls. Monthly expert guest (SA tech founders). Community: Private WhatsApp/Slack group with assignment reviews. Certification: "Certified AI Business Builder" badge. SA positioning: South Africa's first AI business building school. Target: 10000 SA entrepreneurs in year 1.</t>
  </si>
  <si>
    <t xml:space="preserve">Next.js 14, Supabase + Storage, Mux (video), OpenAI GPT-4, Stripe, Resend, Vercel</t>
  </si>
  <si>
    <t xml:space="preserve">Supabase, Mux (video hosting), OpenAI API, Stripe, Resend, Vercel — content creation is main cost</t>
  </si>
  <si>
    <t xml:space="preserve">R2000–4000/mo platform costs</t>
  </si>
  <si>
    <t xml:space="preserve">Build an enterprise platform that controls what AI agents are allowed to do on behalf of a company — a permission, governance and audit layer for the age of AI autonomy. Stack: Next.js 14, Supabase (with Row Level Security), OpenAI API, OAuth2/SSO, Stripe, Vercel. Core platform: (1) Agent registry — companies register all AI agents operating in their org: what tools they access, what data they can read/write, which humans they can contact. (2) Permission matrix — granular control per agent: "this agent can read CRM data but cannot write, cannot send emails without human approval, cannot access financial data." (3) Approval workflow — when an agent wants to take a consequential action (send email to client, process payment, delete record) → it raises an approval request → human approves/declines within X minutes. (4) Audit trail — immutable log of every action every agent has taken, with timestamp, outcome, human oversight status. (5) Compliance reporting — generate POPIA, GDPR, ISO27001 compliance reports showing agent governance in place. (6) Anomaly detection — GPT-4 monitors agent activity patterns and flags unusual behaviour (agent taking 10x normal volume of actions, accessing data outside normal scope). Pricing: R5000–50000/mo for enterprise. POPIA angle: SA companies are legally required to show human oversight of automated systems. This platform makes compliance easy.</t>
  </si>
  <si>
    <t xml:space="preserve">Next.js 14, Supabase (RLS), OpenAI API, OAuth2/SSO integration, Stripe, Vercel</t>
  </si>
  <si>
    <t xml:space="preserve">Supabase (enterprise tier), OpenAI API, Stripe, Vercel — plus SOC 2 compliance (eventually)</t>
  </si>
  <si>
    <t xml:space="preserve">R5000–15000/mo at enterprise scale</t>
  </si>
  <si>
    <t xml:space="preserve">Build a SaaS that helps SA individuals and SMEs clean up, audit and protect their AI and digital footprint — what data AI tools have on them, what permissions are granted, and how to stay safe. Stack: Next.js 14, Supabase, OpenAI GPT-4, HaveIBeenPwned API, Google OAuth (check app permissions), Stripe, Vercel. Core features: (1) AI tool audit — user lists all AI tools they use (ChatGPT, Copilot, Gemini, WATI, etc.) → GPT-4 generates privacy risk assessment per tool: what data is stored, what are the T&amp;Cs, what can the company do with their data. (2) Google permissions scanner — connect Google account → see all third-party apps with access → one-click revoke suspicious apps. (3) Data breach checker — HaveIBeenPwned API integration: check if email/password has been compromised. (4) Digital footprint report — what is publicly visible about you online: LinkedIn, Facebook, CIPC filings, public records. GPT-4 summarises risk level. (5) Monthly hygiene score — track digital hygiene score monthly. Score improves as user takes actions. (6) SA POPIA guide — for SMEs: what data protection actions must you take to be POPIA compliant? Personalised checklist. Pricing: R100–500/mo. Free tier for basic breach check. SA context: POPIA enforcement is ramping up — this is a must-have for SA business owners.</t>
  </si>
  <si>
    <t xml:space="preserve">Next.js 14, Supabase, OpenAI GPT-4, HaveIBeenPwned API, Google OAuth API, Stripe, Vercel</t>
  </si>
  <si>
    <t xml:space="preserve">Supabase, OpenAI API, HaveIBeenPwned API (free for small volume), Google OAuth, Stripe, Vercel</t>
  </si>
  <si>
    <t xml:space="preserve">R400–800/mo</t>
  </si>
  <si>
    <t xml:space="preserve">Build a platform and training ecosystem that teaches SA entrepreneurs how to identify and build AI-powered micro-monopolies — highly defensible niche positions where one business dominates a small but lucrative market. Stack: Next.js 14, Supabase, Tailwind CSS, OpenAI GPT-4, Mux (video), Stripe, Vercel. Platform components: (1) Micro-Monopoly Finder — AI tool that scans SA market data (Google Trends, CIPC filings, LinkedIn job postings) and identifies underserved niches with &lt; 3 competitors and growing search volume. (2) Defensibility Scoring — for any business idea, scores its monopoly potential: network effects, switching costs, proprietary data, brand, regulatory moats. (3) Build Roadmap Generator — for a chosen niche, GPT-4 generates a 12-month build plan to establish market dominance. (4) Training curriculum — video modules teaching: niche selection, barrier building, pricing power, community building, defensibility moats. (5) Community — private SA founders group sharing monopoly-building strategies. (6) Deals &amp; partnerships — exclusive supplier agreements, reseller rights, data partnerships that members can access. Revenue: R200/mo community, R2000 intensive course, R500/mo tool access. SA angle: SA market is full of underserved niches that larger US companies ignore — huge opportunity for SA entrepreneurs to dominate.</t>
  </si>
  <si>
    <t xml:space="preserve">Next.js 14, Supabase, OpenAI GPT-4, Mux (video), Tailwind CSS, Stripe, Vercel</t>
  </si>
  <si>
    <t xml:space="preserve">Supabase, OpenAI API, Mux, Stripe, Vercel — SerpAPI for market data (R500/mo)</t>
  </si>
  <si>
    <t xml:space="preserve">R2000–4000/mo platform</t>
  </si>
  <si>
    <t xml:space="preserve">Build a community and content platform for SA AI startup founders who share their building journey transparently — revenue, learnings, failures, pivots. Stack: Next.js 14, Supabase, Tailwind CSS, OpenAI GPT-4, Stripe, Vercel. Core platform: (1) Founder profiles — each SA founder gets a public profile: what they're building, MRR (optional, verified badge if linked to Stripe), tech stack, team size. (2) Build journal — founders post weekly updates: what they shipped, what worked, what failed, MRR snapshot. Public or members-only. (3) Milestones feed — founders log and celebrate milestones: first paying customer, R10k MRR, first hire, product launch. (4) Live metrics dashboard — founders who connect their Stripe account show real-time MRR on their profile (trust signal). (5) SA Startup Leaderboard — ranked by MRR growth, community votes, or product launches. (6) AI Cohort Challenges — monthly build challenges with prizes (e.g. "Build and launch a product in 30 days"). (7) Resource library — curated tools, tutorials, SA-specific guides (CIPC, SARS, employment law). Monetisation: R100/mo community membership, R500/mo premium (unlimited journal posts + leaderboard), sponsorships from SA tech tools. SA positioning: The #BuildInPublic movement is massive globally but SA has no local hub — first-mover advantage is real here.</t>
  </si>
  <si>
    <t xml:space="preserve">Next.js 14, Supabase, Tailwind CSS, OpenAI GPT-4, Stripe API (MRR pull), Vercel</t>
  </si>
  <si>
    <t xml:space="preserve">Supabase, OpenAI API, Stripe (for MRR integration), Vercel</t>
  </si>
  <si>
    <t xml:space="preserve">R400–800/mo platform costs</t>
  </si>
  <si>
    <t xml:space="preserve">Build a web app called Time Tracker Dashboard. It is a SaaS tool for SA founders and SME owners to track, analyse and reclaim their time. Stack: Next.js 14 (App Router), Supabase (auth + database), Tailwind CSS, Vercel deployment. Core Features: (1) Daily time log — users tag hours to categories (admin, sales, ops, delivery, CEO work). (2) AI weekly report — GPT-4 analyses time patterns and identifies top 3 time leaks with suggested fixes. (3) Time breakdown chart — weekly and monthly view showing % per category. (4) Freedom Score widget — live score showing how much time is spent ON vs IN the business. (5) Team mode — managers can view aggregated team time (no micromanaging — only category totals). Auth: Supabase email/password + Google OAuth. DB: Supabase (users, time_logs, categories, weekly_reports). Payments: Stripe subscription (R150/mo Starter, R500/mo Pro). Deploy on Vercel. Mobile responsive. SA time zone (SAST). Primary CTA: "Start Your Free 7-Day Trial".</t>
  </si>
  <si>
    <t xml:space="preserve">Next.js 14, Supabase, Tailwind CSS, OpenAI GPT-4, Stripe, Vercel</t>
  </si>
  <si>
    <t xml:space="preserve">OpenAI API key, Supabase project, Stripe SA account, Vercel account</t>
  </si>
  <si>
    <t xml:space="preserve">R800–1500/mo (hosting + AI API at 100 users)</t>
  </si>
  <si>
    <t xml:space="preserve">Build a marketplace web app called VA Matching Portal. It connects SA entrepreneurs with vetted South African virtual assistants. Stack: Next.js 14, Supabase, Tailwind CSS, Stripe Connect. Core Features: (1) VA profile creation — skills, experience, hourly rate, availability, portfolio. (2) Client intake — client submits brief (tasks needed, hours/week, budget range). (3) AI match engine — GPT-4 matches top 3 VAs to client brief with fit score and reasoning. (4) Booking system — client selects VA, pays deposit via Stripe Connect. (5) Trial dashboard — tracks first 30-day trial tasks, check-ins and feedback. (6) Rating system — post-trial reviews and continued engagement. Auth: Supabase. VA onboarding: multi-step form with file upload (Supabase Storage for CV/portfolio). Payments: Stripe Connect (platform takes 10% commission). SA-specific: ZAR pricing, SA time zones, SA-based VAs only badge. Deploy on Vercel.</t>
  </si>
  <si>
    <t xml:space="preserve">Next.js 14, Supabase (with Storage), Tailwind CSS, Stripe Connect, OpenAI, Vercel</t>
  </si>
  <si>
    <t xml:space="preserve">Stripe Connect SA account, Supabase project, OpenAI API key, Vercel</t>
  </si>
  <si>
    <t xml:space="preserve">R1200–2000/mo at scale</t>
  </si>
  <si>
    <t xml:space="preserve">Build a SaaS web app called Delegation Playbook Builder. It helps founders and managers turn any repeatable task into a delegatable SOP in minutes using AI. Stack: Next.js 14, Supabase, Tailwind CSS, OpenAI GPT-4, Vercel. Core Features: (1) Task capture — user describes a task in plain language (voice or text). (2) AI SOP generator — GPT-4 converts description into a structured SOP: purpose, trigger, steps, outcome, tools needed, common mistakes. (3) Playbook library — organised by department (ops, sales, HR, finance). (4) Team sharing — share specific SOPs or full playbook with team members. (5) Version history — track SOP updates over time. (6) Export — download as PDF or push to Notion/Google Docs. Auth: Supabase. DB: users, playbooks, sops, sop_versions, team_shares. Payments: Stripe (R200/mo Solo, R800/mo Team up to 10). Integrations: Notion API (push SOP), Google Docs API (export). Deploy: Vercel. South African context in all AI prompts.</t>
  </si>
  <si>
    <t xml:space="preserve">Next.js 14, Supabase, OpenAI GPT-4, Notion API, Tailwind CSS, Stripe, Vercel</t>
  </si>
  <si>
    <t xml:space="preserve">OpenAI API key, Supabase, Stripe, Notion API token (optional), Vercel</t>
  </si>
  <si>
    <t xml:space="preserve">R600–1200/mo (AI API scales with usage)</t>
  </si>
  <si>
    <t xml:space="preserve">Build a web app called Productivity Audit Intake Tool. It conducts a 20-minute AI-powered productivity audit for SA business owners and returns a prioritised action report. Stack: Next.js 14, Supabase, Tailwind CSS, OpenAI GPT-4, Resend (email), Vercel. Core Features: (1) Multi-step intake form — 15 questions across 5 domains: time usage, team delegation, revenue activities, energy management, systems maturity. (2) AI analysis — GPT-4 analyses responses and generates: top 3 productivity leaks, immediate fixes (this week), 30-day action plan, complexity score. (3) PDF report — auto-generated branded PDF sent to client email via Resend. (4) Dashboard — clients revisit their report and track action completion. (5) Upsell flow — report includes CTA for 1-on-1 strategy session (Calendly link). Pricing: One-time audit R497. Recurring monthly check-in sub R500/mo. Auth: Supabase email link (passwordless). Payments: Stripe. Deploy: Vercel. All language SA-contextualised.</t>
  </si>
  <si>
    <t xml:space="preserve">Next.js 14, Supabase, OpenAI GPT-4, Resend (email), Puppeteer (PDF), Stripe, Vercel</t>
  </si>
  <si>
    <t xml:space="preserve">OpenAI API, Supabase, Stripe, Resend API key, Vercel, Calendly (free)</t>
  </si>
  <si>
    <t xml:space="preserve">R500–900/mo at 50 audits/mo</t>
  </si>
  <si>
    <t xml:space="preserve">Build a wellness SaaS called Energy Scorecard App for SA founders and entrepreneurs to track their mental/physical energy and optimise their schedule around it. Stack: Next.js 14, Supabase, Tailwind CSS, OpenAI, Chart.js, Vercel. Core Features: (1) Daily 3-minute check-in — rate energy (1–10) across 4 dimensions: physical, mental, emotional, focus. (2) Activity tagging — log what you did and what drained/boosted energy. (3) AI pattern analysis — weekly GPT-4 report showing your peak energy windows and biggest drains. (4) Scheduling recommendation — AI suggests best times for deep work, meetings, admin. (5) Energy calendar view — heatmap showing energy levels by day and time. (6) Founder insights — weekly email summary (Resend) with one actionable insight. Auth: Supabase. DB: users, check_ins, energy_logs, weekly_reports. Payments: Stripe (R100/mo). Deploy: Vercel.</t>
  </si>
  <si>
    <t xml:space="preserve">Next.js 14, Supabase, OpenAI, Chart.js, Resend, Stripe, Vercel</t>
  </si>
  <si>
    <t xml:space="preserve">Supabase, OpenAI API key, Resend, Stripe, Vercel</t>
  </si>
  <si>
    <t xml:space="preserve">R400–700/mo</t>
  </si>
  <si>
    <t xml:space="preserve">Build an operations SaaS called COO Dashboard. It gives growing SA SMEs a real-time view of every critical business KPI, team task and bottleneck in a single dashboard. Stack: Next.js 14, Supabase, Tailwind CSS, Chart.js/Recharts, multiple API integrations, Vercel. Core Features: (1) KPI tiles — revenue (Xero), leads (HubSpot/Pipedrive), team tasks (Asana/ClickUp), staff attendance, cash position. (2) Bottleneck alerts — AI flags when a KPI drops below threshold. (3) Weekly ops report — auto-generated PDF with executive summary. (4) Team scorecards — each department head has a scorecard view. (5) Custom widgets — drag-drop KPI builder for unique metrics. (6) Mobile view — optimised for checking on phone at 5am. Auth: Supabase. Integrations: Xero API, HubSpot API, Google Sheets, Slack webhooks. Payments: Stripe (R500/mo Starter, R2000/mo Pro with all integrations). Deploy: Vercel.</t>
  </si>
  <si>
    <t xml:space="preserve">Next.js 14, Supabase, Recharts, Xero API, HubSpot API, Slack, Stripe, Vercel</t>
  </si>
  <si>
    <t xml:space="preserve">Supabase, Stripe, Xero developer account, HubSpot API, Vercel, OpenAI</t>
  </si>
  <si>
    <t xml:space="preserve">R1500–3000/mo (API integration costs)</t>
  </si>
  <si>
    <t xml:space="preserve">Build a SaaS called Hire-Ready Checklist Tool. It guides SA business owners through a structured hiring decision process before posting any job. Stack: Next.js 14, Supabase, Tailwind CSS, OpenAI, Resend, Vercel. Core Features: (1) Hire-readiness quiz — 10 questions determining if the business is ready to hire (cash flow, role clarity, onboarding plan). (2) Role definition wizard — AI helps define the role, responsibilities, success metrics and salary range. (3) Hiring checklist — step-by-step checklist from job post to first-day onboarding. (4) Job description generator — GPT-4 writes SA-compliant job description. (5) Interview question bank — role-specific questions across technical, cultural and behavioural dimensions. (6) Hire score — rates hiring readiness 1–10 with recommendations. Auth: Supabase. DB: users, hire_plans, roles, checklists. Payments: Stripe (R200/mo Solo, R1000/mo Team). Deploy: Vercel.</t>
  </si>
  <si>
    <t xml:space="preserve">Next.js 14, Supabase, OpenAI GPT-4, Resend, Stripe, Vercel</t>
  </si>
  <si>
    <t xml:space="preserve">Build an EdTech platform called EA Training Portal. It trains South African executive assistants and admin staff to operate at CEO-support level. Stack: Next.js 14, Supabase (with Storage), Tailwind CSS, Mux (video), Stripe, Resend, Vercel. Core Features: (1) Video course library — modules covering: calendar management, email triaging, travel booking, meeting prep, project tracking, CEO communication protocols. (2) AI practice coach — GPT-4 simulates EA scenarios for students to practice responses. (3) Assessment engine — quizzes after each module with scoring. (4) Certificate — PDF certificate on course completion. (5) Employer portal — businesses buy team licenses and track staff progress. (6) Community — private discussion board for EAs. Auth: Supabase. Video: Mux for streaming. Storage: Supabase Storage for course assets. Payments: Stripe (R1500 one-time course, R500/mo subscription access). Deploy: Vercel.</t>
  </si>
  <si>
    <t xml:space="preserve">Supabase, Mux account, Stripe, OpenAI, Resend, Vercel — plus content creation</t>
  </si>
  <si>
    <t xml:space="preserve">R1500–2500/mo (Mux video hosting is main cost)</t>
  </si>
  <si>
    <t xml:space="preserve">Build a SaaS called Team Time Intelligence Tool. It gives SA team leaders visibility into how their team spends time and flags overload before people quit. Stack: Next.js 14, Supabase, Tailwind CSS, OpenAI, Recharts, Slack integration, Vercel. Core Features: (1) Team member time logging — each team member logs daily categories (deep work, meetings, admin, support). (2) Manager dashboard — aggregated view of team time by category, person and week. (3) Overload detector — AI alerts manager when any team member exceeds 80% capacity in low-value work. (4) Capacity planning — upcoming project load vs available team capacity. (5) Weekly team report — GPT-4 summary with recommendations. (6) Slack integration — team logs time via Slack slash command (/timelog 2h meetings). Auth: Supabase. Payments: Stripe (R300/mo up to 5 users, R1500/mo up to 20). Deploy: Vercel.</t>
  </si>
  <si>
    <t xml:space="preserve">Next.js 14, Supabase, OpenAI, Recharts, Slack API, Stripe, Vercel</t>
  </si>
  <si>
    <t xml:space="preserve">Supabase, Slack app credentials, OpenAI API, Stripe, Vercel</t>
  </si>
  <si>
    <t xml:space="preserve">R600–1000/mo</t>
  </si>
  <si>
    <t xml:space="preserve">Build a viral lead-gen tool called Freedom Score Calculator. It calculates a founder's 'Freedom Score' — how free they are from their own business — and gives them a personalised action plan. Stack: Next.js 14, Supabase, Tailwind CSS, OpenAI, Resend, Vercel. Core Features: (1) 10-question assessment — covers: delegation, systems, revenue dependency, team capability, time ownership. (2) Freedom Score (0–100) — colour-coded with breakdown by category. (3) Shareable score card — founders share on LinkedIn/WhatsApp (viral mechanic). (4) Personalised action plan — GPT-4 generates 5 specific actions to increase freedom score. (5) Email capture — score sent to email with full report (Resend). (6) Upsell — report includes CTA for Freedom OS platform (your bigger suite). Free tool — revenue from email list + upsells to paid platform. Deploy: Vercel. SA-specific benchmarks (e.g., "Top 10% of SA founders score above 70").</t>
  </si>
  <si>
    <t xml:space="preserve">Next.js 14, Supabase, OpenAI GPT-4, Resend, Vercel (free tier ok for MVP)</t>
  </si>
  <si>
    <t xml:space="preserve">Supabase (free tier), OpenAI API, Resend (free tier), Vercel (free tier)</t>
  </si>
  <si>
    <t xml:space="preserve">R200–400/mo (very low cost — viral tool)</t>
  </si>
  <si>
    <t xml:space="preserve">Build a SaaS called Offer Builder Tool. It guides SA service businesses through building a clear, compelling, priced offer in under 30 minutes using AI. Stack: Next.js 14, Supabase, Tailwind CSS, OpenAI GPT-4, Stripe, Resend, Vercel. Core Features: (1) Offer wizard — step-by-step prompts: who you serve, what problem you solve, what result you deliver, how you deliver it, what it costs. (2) AI offer writer — GPT-4 crafts a polished offer statement, one-liner, and full service description. (3) Pricing calculator — input your costs and desired margin, tool suggests ZAR pricing tiers. (4) Objection handler — AI generates top 5 objections your clients will have + scripted responses. (5) Offer card — branded PDF/image output ready to share on WhatsApp or social. (6) A/B test tracker — log which offer version closes more. Auth: Supabase. Payments: Stripe (R300/mo). Deploy: Vercel.</t>
  </si>
  <si>
    <t xml:space="preserve">Supabase, OpenAI API, Stripe, Vercel</t>
  </si>
  <si>
    <t xml:space="preserve">R500–900/mo</t>
  </si>
  <si>
    <t xml:space="preserve">Build a SaaS/consulting tool called Niche Selector Wizard. It helps SA generalist agencies and consultants identify their most profitable niche using real market data and AI scoring. Stack: Next.js 14, Supabase, Tailwind CSS, OpenAI GPT-4, Google Trends API, Stripe, Vercel. Core Features: (1) Industry interest quiz — 15 questions about skills, experience, passion, market knowledge. (2) SA market data overlay — pulls Google Trends data for SA search volume per niche. (3) Niche scoring matrix — scores each potential niche on: demand, competition, revenue potential, founder fit. (4) Top 3 niche recommendations — with reasoning per niche. (5) ICP sketch — AI drafts an ideal client profile for top niche. (6) 90-day niche entry plan — GPT-4 generates specific steps to launch in chosen niche. Auth: Supabase. Payments: Stripe (R200 per use, R500/mo for agencies). Deploy: Vercel.</t>
  </si>
  <si>
    <t xml:space="preserve">Next.js 14, Supabase, OpenAI GPT-4, Google Trends API (unofficial), Stripe, Vercel</t>
  </si>
  <si>
    <t xml:space="preserve">Supabase, OpenAI API, Stripe, Vercel, Google Trends (scraping or SerpAPI)</t>
  </si>
  <si>
    <t xml:space="preserve">R500–800/mo</t>
  </si>
  <si>
    <t xml:space="preserve">Build an analytics SaaS called Revenue Breakdown Dashboard. It shows SA service-based businesses exactly which services, clients and activities generate the most revenue and profit. Stack: Next.js 14, Supabase, Tailwind CSS, Recharts, Xero API, Stripe, Vercel. Core Features: (1) Revenue input — manual entry or Xero sync of invoiced amounts per service/client. (2) Service profit breakdown — revenue minus estimated time cost per service line. (3) Client revenue ranking — top 10 clients by revenue, margin, growth. (4) Monthly trend chart — revenue by category over 12 months. (5) AI insight — GPT-4 weekly observation: "Your highest-margin service is X. You spent 40% of time on Y which generates 10% of revenue." (6) Action recommendation — double down/cut suggestions. Auth: Supabase. Payments: Stripe (R400/mo). Xero integration: OAuth2. Deploy: Vercel.</t>
  </si>
  <si>
    <t xml:space="preserve">Next.js 14, Supabase, Recharts, Xero API (OAuth2), OpenAI, Stripe, Vercel</t>
  </si>
  <si>
    <t xml:space="preserve">Supabase, Xero developer account, OpenAI API, Stripe, Vercel</t>
  </si>
  <si>
    <t xml:space="preserve">R700–1200/mo</t>
  </si>
  <si>
    <t xml:space="preserve">Build a marketing SaaS called Campaign Alignment Map. It helps SA digital agencies and marketing teams align every campaign to a single strategic business goal and track performance against it. Stack: Next.js 14, Supabase, Tailwind CSS, OpenAI, Recharts, Google Analytics 4 API, Meta API, Stripe, Vercel. Core Features: (1) Strategic goal setter — define 1–3 business goals (e.g., 50 new clients in Q3). (2) Campaign builder — map each campaign to a goal with budget, channel, KPIs. (3) Alignment score — AI rates how well each campaign aligns to the stated goal. (4) Performance tracker — pull in actual results from GA4 and Meta automatically. (5) Weekly alignment report — is the campaign spending aligned to the goals? (6) Reallocation suggestions — AI recommends where to shift budget. Auth: Supabase. Payments: Stripe (R500/mo). Deploy: Vercel.</t>
  </si>
  <si>
    <t xml:space="preserve">Next.js 14, Supabase, OpenAI, GA4 API, Meta Ads API, Recharts, Stripe, Vercel</t>
  </si>
  <si>
    <t xml:space="preserve">Supabase, OpenAI, Google Analytics API, Meta Ads API, Stripe, Vercel</t>
  </si>
  <si>
    <t xml:space="preserve">R900–1500/mo</t>
  </si>
  <si>
    <t xml:space="preserve">Build a viral AI SaaS called One-Line Offer Generator. Users input their service and target client — AI generates 5 razor-sharp one-line offers they can test immediately. Stack: Next.js 14, Supabase, Tailwind CSS, OpenAI GPT-4, Stripe, Resend, Vercel. Core Features: (1) Input form — who you help, what result you deliver, how fast, in what context. (2) AI generator — GPT-4 produces 5 one-line offers using proven frameworks (PAS, AIDA, outcome-first). (3) Offer scoring — AI rates each on clarity, specificity and SA market resonance. (4) Saved offers library — users keep and iterate their best offers. (5) WhatsApp preview — shows how offer looks in a WhatsApp message (SA primary channel). (6) A/B tracker — log conversion rate per offer tested. Freemium: 3 free generations, then R150/mo. Auth: Supabase. Payments: Stripe. Deploy: Vercel. Share function: "I just generated my offer — try it free" link.</t>
  </si>
  <si>
    <t xml:space="preserve">R300–600/mo (low cost — scales well)</t>
  </si>
  <si>
    <t xml:space="preserve">Build a consulting-grade SaaS called Offer Audit Tool. It diagnoses why a SA business's offer isn't converting and delivers a prioritised fix list. Stack: Next.js 14, Supabase, Tailwind CSS, OpenAI GPT-4, Resend, Stripe, Vercel. Core Features: (1) Offer submission — client pastes/types their current offer, pricing, and target client. (2) AI audit engine — GPT-4 scores offer across 8 dimensions: clarity, specificity, outcome focus, urgency, proof, risk reversal, price anchoring, CTA strength. (3) Score report — visual breakdown with specific critique per dimension. (4) Rewrite — AI rewrites the offer with improvements for each weak dimension. (5) Comparison view — original vs rewritten side-by-side. (6) PDF export — branded report client can share with team. Pricing: R497 per audit (one-time), R2000/mo for agencies (unlimited audits). Auth: Supabase. Payments: Stripe. Deploy: Vercel.</t>
  </si>
  <si>
    <t xml:space="preserve">Next.js 14, Supabase, OpenAI GPT-4, Puppeteer (PDF), Stripe, Resend, Vercel</t>
  </si>
  <si>
    <t xml:space="preserve">Supabase, OpenAI API, Stripe, Vercel, Puppeteer or html-pdf-node</t>
  </si>
  <si>
    <t xml:space="preserve">Build a digital workbook SaaS called Brand Positioning Canvas. It guides SA coaches, consultants and personal brands through building a one-page brand position using AI. Stack: Next.js 14, Supabase, Tailwind CSS, OpenAI, html2canvas (PDF), Stripe, Vercel. Core Features: (1) Canvas wizard — step-by-step completion of 9 positioning elements: who you are, who you serve, what problem you solve, your unique method, your proof, your positioning statement. (2) AI fill-in — GPT-4 helps complete any section with suggestions. (3) Competitor landscape — user plots competitors on a 2x2 matrix. (4) One-page canvas output — beautiful visual summary ready to download or share. (5) Messaging workshop — AI generates tagline, bio, LinkedIn headline, pitch options. (6) Brand tone guide — AI defines brand voice (formal/casual, bold/nurturing etc.). Pricing: R497 one-time, R300/mo for ongoing access. Auth: Supabase. Payments: Stripe. Deploy: Vercel.</t>
  </si>
  <si>
    <t xml:space="preserve">Next.js 14, Supabase, OpenAI GPT-4, html2canvas, Stripe, Vercel</t>
  </si>
  <si>
    <t xml:space="preserve">Build a sales SaaS called Script Studio. It generates SA-contextualised sales scripts, cold call openers, objection handlers and follow-up messages for sales teams and SDRs. Stack: Next.js 14, Supabase, Tailwind CSS, OpenAI GPT-4, Stripe, Vercel. Core Features: (1) Script generator — input: industry, target client, offer, common objections. GPT-4 outputs full cold call script, email opener, WhatsApp message, follow-up sequence. (2) Objection library — searchable library of SA-specific objections with scripted responses. (3) Roleplay coach — AI plays the prospect, user practices the script, AI gives feedback. (4) Industry templates — pre-built scripts for SA industries: real estate, insurance, logistics, PPE, HR services. (5) Script performance tracker — log which script version books the most meetings. (6) Team library — share best scripts across sales team. Auth: Supabase. Payments: Stripe (R200/mo Solo, R1000/mo Team). Deploy: Vercel.</t>
  </si>
  <si>
    <t xml:space="preserve">Next.js 14, Supabase, OpenAI GPT-4, Tailwind CSS, Stripe, Vercel</t>
  </si>
  <si>
    <t xml:space="preserve">Build a B2B SaaS called ICP Builder. It uses AI and SA market data to help businesses build a precise ideal client profile they can actually use for targeting. Stack: Next.js 14, Supabase, Tailwind CSS, OpenAI GPT-4, Stripe, Vercel. Core Features: (1) ICP workshop — guided questions: industry, company size, revenue range, role/title, geographic focus, pain points, goals, buying triggers, budget authority. (2) AI ICP generator — GPT-4 synthesises responses into a detailed ICP document. (3) SA company database filter (optional v2) — filter SA companies matching ICP from CIPC/LinkedIn. (4) ICP validation checklist — how well does your current client list match your ICP? (5) Lookalike prompt — AI generates a LinkedIn search string to find more ICPs. (6) PDF export — shareable ICP card for the whole team. Pricing: R300 per ICP report, R500/mo for unlimited + team. Auth: Supabase. Payments: Stripe. Deploy: Vercel.</t>
  </si>
  <si>
    <t xml:space="preserve">Next.js 14, Supabase, OpenAI GPT-4, Stripe, Resend, Vercel</t>
  </si>
  <si>
    <t xml:space="preserve">Build a SaaS called Offer Validator. It lets SA entrepreneurs test their offer with a real landing page before spending money on marketing. Stack: Next.js 14, Supabase, Tailwind CSS, Vercel, Stripe, Google Analytics 4. Core Features: (1) Offer input — user enters offer headline, description, price, CTA. (2) Landing page generator — AI and template engine generates a live landing page in under 5 minutes. (3) Unique URL — each offer gets a shareable link (validate.yourapp.com/offer-slug). (4) Traffic source tagging — track how many clicks from WhatsApp, LinkedIn, email, etc. (5) Conversion tracking — track sign-ups/interest submissions vs visits. (6) AI feedback — after 50 visits, GPT-4 analyses conversion rate and suggests improvements. (7) Winner declaration — if conversion rate &gt;3%, offer is validated. Green light to invest in marketing. Pricing: R497 per offer test, R1500/mo unlimited. Auth: Supabase. Payments: Stripe. Deploy: Vercel.</t>
  </si>
  <si>
    <t xml:space="preserve">Next.js 14, Supabase, Tailwind CSS, OpenAI, Google Analytics 4, Stripe, Vercel</t>
  </si>
  <si>
    <t xml:space="preserve">Supabase, OpenAI API, Stripe, Google Analytics 4, Vercel</t>
  </si>
  <si>
    <t xml:space="preserve">Build a strategy SaaS called Channel Planner. It helps SA growth teams choose the right 2 marketing channels based on their business model, budget and target market. Stack: Next.js 14, Supabase, Tailwind CSS, OpenAI GPT-4, Recharts, Stripe, Vercel. Core Features: (1) Business profiler — input: industry, ACV, sales cycle length, geographic reach, marketing budget, team size. (2) Channel scoring engine — AI scores 12 channels (LinkedIn, cold email, WhatsApp, paid social, SEO, referral, events, etc.) against business profile. (3) Top 2 channel recommendation — with justification and SA-specific tactics per channel. (4) 90-day channel plan — week-by-week activation plan for chosen channels. (5) Budget allocator — recommended ZAR spend per channel per month. (6) Results tracker — log actual results vs plan monthly. Auth: Supabase. Payments: Stripe (R400/mo). Deploy: Vercel.</t>
  </si>
  <si>
    <t xml:space="preserve">Next.js 14, Supabase, OpenAI GPT-4, Recharts, Stripe, Vercel</t>
  </si>
  <si>
    <t xml:space="preserve">Build a B2B sales SaaS called Outbound Engine. It helps SA B2B companies build and run a repeatable outbound sales machine with AI personalisation. Stack: Next.js 14, Supabase, Tailwind CSS, OpenAI GPT-4, Resend (email), Stripe, Vercel. Core Features: (1) Lead list import — CSV upload or manual entry of target contacts. (2) AI personalisation — GPT-4 writes personalised first lines for each contact based on company/role. (3) Sequence builder — 5-touch outreach sequence (email 1, follow-up, LinkedIn note, WhatsApp, final breakup). (4) Send engine — Resend sends emails on schedule with tracking. (5) Response tracker — log replies, meetings booked, outcomes. (6) Reply analyser — AI classifies responses (interested, not now, no, referral) and suggests next step. (7) Pipeline output — converts interested responses to CRM entries. Auth: Supabase. Payments: Stripe (R500/mo Starter 500 contacts, R3000/mo Pro unlimited). Deploy: Vercel.</t>
  </si>
  <si>
    <t xml:space="preserve">Next.js 14, Supabase, OpenAI GPT-4, Resend, Tailwind CSS, Stripe, Vercel</t>
  </si>
  <si>
    <t xml:space="preserve">Supabase, OpenAI API, Resend account, Stripe, Vercel</t>
  </si>
  <si>
    <t xml:space="preserve">R800–1500/mo (Resend scales with volume)</t>
  </si>
  <si>
    <t xml:space="preserve">Build a platform called Partner Portal. It helps SA agencies and multi-tier businesses manage resellers, referral partners and white-label clients in one place. Stack: Next.js 14, Supabase, Tailwind CSS, Stripe Connect, OpenAI, Resend, Vercel. Core Features: (1) Partner onboarding — partners sign up, select tier (referral, reseller, white-label), complete profile. (2) Deal registration — partners log deals they are working. (3) Commission tracker — automated commission calculation per deal closed. (4) Partner dashboard — partners see their pipeline, commissions earned, payouts. (5) Admin dashboard — platform owner sees all partners, deals, revenue share. (6) Automated payouts — Stripe Connect transfers commissions to partner bank. (7) White-label kit — downloadable marketing assets per partner. Auth: Supabase (two roles: admin, partner). Payments: Stripe Connect. Deploy: Vercel.</t>
  </si>
  <si>
    <t xml:space="preserve">Next.js 14, Supabase, Stripe Connect, OpenAI, Resend, Tailwind CSS, Vercel</t>
  </si>
  <si>
    <t xml:space="preserve">Supabase, Stripe Connect SA account, Resend, Vercel</t>
  </si>
  <si>
    <t xml:space="preserve">R1200–2000/mo</t>
  </si>
  <si>
    <t xml:space="preserve">Build a free viral calculator called Revenue Reverse Engineer Tool. Users input their income goal and it works backwards to their required daily/weekly actions. Stack: Next.js 14 (or even pure React), Supabase, Tailwind CSS, Resend, Vercel. Core Features: (1) Income goal input — monthly or annual ZAR target. (2) Reverse calculation engine — inputs: average deal size, close rate, proposal-to-meeting ratio, meetings-to-call ratio. Output: daily calls, weekly meetings, monthly proposals required. (3) Visual breakdown — funnel chart showing activity requirements at each stage. (4) "What-if" scenarios — change close rate or deal size, see impact on required activity. (5) Email capture — send full breakdown to email (Resend) — this is the lead gen. (6) Upgrade CTA — "Want a tool that tracks this daily? Try Outbound Engine." Free tool. Revenue from email list + upsell. Auth: None needed for calculator. Deploy: Vercel (free tier sufficient).</t>
  </si>
  <si>
    <t xml:space="preserve">Next.js 14, Tailwind CSS, Supabase (minimal), Resend, Vercel</t>
  </si>
  <si>
    <t xml:space="preserve">Supabase (free tier), Resend (free tier), Vercel (free tier)</t>
  </si>
  <si>
    <t xml:space="preserve">R100–200/mo (near-zero cost)</t>
  </si>
  <si>
    <t xml:space="preserve">Build an analytics SaaS called Lead Dashboard. It gives SA sales teams and owner-operators a single view of every lead, every stage and every next action — replacing spreadsheets and sticky notes. Stack: Next.js 14, Supabase, Tailwind CSS, OpenAI, Recharts, HubSpot API, Pipedrive API, Stripe, Vercel. Core Features: (1) Lead entry — manual entry or CRM sync (HubSpot, Pipedrive, or Google Sheets). (2) Kanban view — visual pipeline board with drag-drop stage movement. (3) List view — sortable by value, stage, last contact, next action. (4) AI next-action prompts — GPT-4 suggests next best action per lead based on stage and history. (5) Stale lead alerts — flag any lead with no activity in 7+ days. (6) Revenue forecast — projected monthly revenue based on pipeline value × stage probability. Auth: Supabase. Payments: Stripe (R400/mo Solo, R2500/mo Team). Deploy: Vercel.</t>
  </si>
  <si>
    <t xml:space="preserve">Next.js 14, Supabase, OpenAI, Recharts, HubSpot API, Pipedrive API, Stripe, Vercel</t>
  </si>
  <si>
    <t xml:space="preserve">Supabase, OpenAI API, Stripe, HubSpot API (free tier), Vercel</t>
  </si>
  <si>
    <t xml:space="preserve">Build a CRM SaaS called Pipeline Health Checker. It audits a SA company's sales pipeline weekly and tells managers exactly where deals are stalling and why. Stack: Next.js 14, Supabase, Tailwind CSS, OpenAI GPT-4, Recharts, HubSpot/Pipedrive API, Resend, Stripe, Vercel. Core Features: (1) Pipeline sync — connect HubSpot or Pipedrive, or manual CSV upload. (2) Health score — weekly pipeline health score (0–100) across: deal velocity, stage duration, activity frequency, follow-up compliance. (3) Bottleneck identification — AI flags which stage has the most stalling deals and why. (4) Deal-level audit — for each deal: days in stage, last activity, probability vs reality. (5) Weekly report email — automated Monday morning pipeline health report (Resend). (6) Manager recommendations — specific actions to unblock the top 3 stalling deals. Auth: Supabase. Payments: Stripe (R500/mo). Deploy: Vercel.</t>
  </si>
  <si>
    <t xml:space="preserve">Next.js 14, Supabase, OpenAI GPT-4, HubSpot/Pipedrive API, Recharts, Resend, Stripe, Vercel</t>
  </si>
  <si>
    <t xml:space="preserve">Supabase, OpenAI API, HubSpot API, Stripe, Resend, Vercel</t>
  </si>
  <si>
    <t xml:space="preserve">R800–1300/mo</t>
  </si>
  <si>
    <t xml:space="preserve">Build a startup analytics SaaS called Unit Economics Dashboard. It automatically calculates CAC, LTV, churn, payback period and MRR for SA startup founders and investors. Stack: Next.js 14, Supabase, Tailwind CSS, OpenAI, Recharts, Stripe API, Xero API, Stripe, Vercel. Core Features: (1) Revenue input — connect Stripe (for MRR/churn) or manual input. (2) Cost input — marketing spend, sales cost, COGS per customer. (3) Auto-calculations — CAC, LTV, LTV:CAC ratio, payback period, gross margin, churn rate, NRR. (4) Cohort analysis — revenue retention by signup month. (5) Investor summary — one-page PDF with all key metrics formatted for investor meetings. (6) Benchmark comparison — how do your metrics compare to SA SaaS benchmarks? Auth: Supabase. Payments: Stripe (R300/mo). Integrations: Stripe API (pull real revenue data). Deploy: Vercel.</t>
  </si>
  <si>
    <t xml:space="preserve">Next.js 14, Supabase, OpenAI, Recharts, Stripe API, Xero API, Stripe, Vercel</t>
  </si>
  <si>
    <t xml:space="preserve">Supabase, OpenAI API, Stripe (for payments + data pull), Vercel</t>
  </si>
  <si>
    <t xml:space="preserve">Build a marketing SaaS called Growth Scorecard. It gives SA marketing teams a single weekly growth score that combines all key metrics into one number. Stack: Next.js 14, Supabase, Tailwind CSS, OpenAI, Recharts, Google Analytics 4 API, Meta Ads API, Stripe, Vercel. Core Features: (1) Metric input — connect GA4, Meta Ads, or enter manually: traffic, leads, conversions, CAC, revenue. (2) Growth score calculation — weighted composite score (0–100) updated weekly. (3) Trend arrow — is growth score improving or declining vs last week/month? (4) Category breakdown — score by acquisition, activation, retention, revenue. (5) AI growth insight — GPT-4 weekly commentary: what's working, what's declining, what to test. (6) Shareable scorecard — one-page visual export for leadership meetings. Auth: Supabase. Payments: Stripe (R400/mo). Deploy: Vercel.</t>
  </si>
  <si>
    <t xml:space="preserve">Next.js 14, Supabase, OpenAI, Recharts, GA4 API, Meta Ads API, Stripe, Vercel</t>
  </si>
  <si>
    <t xml:space="preserve">Supabase, OpenAI API, Google Analytics 4 API, Meta Ads API, Stripe, Vercel</t>
  </si>
  <si>
    <t xml:space="preserve">Build an EdTech platform called Outreach Academy. It trains SA sales reps and BDRs to do cold outreach that actually books meetings. Stack: Next.js 14, Supabase + Storage, Tailwind CSS, Mux (video), OpenAI GPT-4, Stripe, Resend, Vercel. Core Features: (1) Video module library — 20+ modules: cold calling mindset, script building, email writing, WhatsApp outreach, LinkedIn DMs, objection handling, follow-up cadences. (2) SA industry playbooks — specific modules for PPE sales, logistics, HR services, commercial property. (3) AI roleplay — GPT-4 plays a prospect, student practices pitch, AI scores and gives feedback. (4) Live call recording review (v2) — upload a call recording, AI scores it. (5) Certification — Outreach Academy Certified badge for LinkedIn. (6) Team licenses — companies buy access for their whole sales team. Pricing: R2000 one-time, R500/mo subscription. Auth: Supabase. Video: Mux. Payments: Stripe. Deploy: Vercel.</t>
  </si>
  <si>
    <t xml:space="preserve">Next.js 14, Supabase + Storage, Mux, OpenAI GPT-4, Stripe, Resend, Vercel</t>
  </si>
  <si>
    <t xml:space="preserve">Supabase, Mux video account, OpenAI API, Stripe, Resend, Vercel</t>
  </si>
  <si>
    <t xml:space="preserve">R1500–2500/mo (Mux is main cost)</t>
  </si>
  <si>
    <t xml:space="preserve">Build an analytics SaaS called Content-to-Lead Tracker. It shows SA content marketers which specific pieces of content are generating actual leads and revenue — closing the attribution gap. Stack: Next.js 14, Supabase, Tailwind CSS, OpenAI, Google Analytics 4 API, Meta Pixel API, HubSpot API, Recharts, Stripe, Vercel. Core Features: (1) Content library — log all published content (blog, video, podcast, social post) with publish date and URL. (2) UTM builder — auto-generate UTM links for each content piece. (3) Lead attribution — track which content pieces drove form fills, sign-ups, or demo requests via GA4. (4) Revenue attribution — match closed deals (from HubSpot) back to first-touch content. (5) Top content report — ranked list of content by leads generated and revenue attributed. (6) AI content recommendation — GPT-4 suggests what content to create next based on highest-performing topics. Auth: Supabase. Payments: Stripe (R300/mo). Deploy: Vercel.</t>
  </si>
  <si>
    <t xml:space="preserve">Next.js 14, Supabase, OpenAI, GA4 API, HubSpot API, Meta Pixel, Recharts, Stripe, Vercel</t>
  </si>
  <si>
    <t xml:space="preserve">Supabase, OpenAI API, Google Analytics 4 API, HubSpot API, Stripe, Vercel</t>
  </si>
  <si>
    <t xml:space="preserve">Build a SaaS called SOP Builder. It lets SA businesses document any process in under 10 minutes using AI — and publish it to the whole team instantly. Stack: Next.js 14, Supabase, Tailwind CSS, OpenAI GPT-4, Resend, Stripe, Vercel. Core Features: (1) Process capture — user describes a process in plain English (or voice-to-text). (2) AI SOP generator — GPT-4 converts description into structured SOP: title, purpose, trigger, step-by-step instructions, tools needed, expected outcome, quality checks. (3) SOP library — organised by department tag (ops, HR, finance, sales, delivery). (4) Version control — track SOP updates with change notes. (5) Team publishing — share SOPs with team members via link or in-app (with read-confirmation). (6) Export — PDF, Notion push, or Google Docs. (7) SOP compliance tracker — log when team members have read and applied each SOP. Auth: Supabase. Payments: Stripe (R300/mo Solo, R1500/mo Team up to 20). Deploy: Vercel.</t>
  </si>
  <si>
    <t xml:space="preserve">Next.js 14, Supabase, OpenAI GPT-4, Notion API, Tailwind CSS, Stripe, Resend, Vercel</t>
  </si>
  <si>
    <t xml:space="preserve">Supabase, OpenAI API, Stripe, Notion API (optional), Vercel</t>
  </si>
  <si>
    <t xml:space="preserve">Build a consulting-grade SaaS called Ops Audit Tool. It conducts a 48-hour AI-powered operational audit of any SA business and delivers a prioritised fix list. Stack: Next.js 14, Supabase, Tailwind CSS, OpenAI GPT-4, Resend, Puppeteer (PDF), Stripe, Vercel. Core Features: (1) Ops intake — 30-question form across 6 domains: team structure, workflows, systems, bottlenecks, capacity, recurring issues. (2) AI ops analysis — GPT-4 analyses responses and scores maturity across each domain. (3) Priority fix list — top 5 operational issues ranked by impact and ease of fix. (4) 30-day ops plan — specific weekly actions to fix each issue. (5) Benchmark comparison — how does the business compare to SA SME ops benchmarks? (6) Branded PDF report — professional deliverable suitable for board/investor presentation. Pricing: R497 per audit. R2000/mo agency license (unlimited audits for their clients). Auth: Supabase. Payments: Stripe. Deploy: Vercel.</t>
  </si>
  <si>
    <t xml:space="preserve">Next.js 14, Supabase, OpenAI GPT-4, Puppeteer, Stripe, Resend, Vercel</t>
  </si>
  <si>
    <t xml:space="preserve">Supabase, OpenAI API, Puppeteer (PDF generation), Stripe, Resend, Vercel</t>
  </si>
  <si>
    <t xml:space="preserve">Build a SaaS called Workflow Designer. It lets SA operations managers visually map and automate their core business workflows without code. Stack: Next.js 14, Supabase, Tailwind CSS, React Flow (node-based editor), Zapier API / Make.com API, OpenAI, Stripe, Vercel. Core Features: (1) Visual workflow canvas — drag-drop nodes: triggers, actions, conditions, approvals, notifications. (2) SA workflow templates — pre-built workflows: employee onboarding, client intake, invoice approval, lead follow-up, leave request. (3) AI workflow generator — describe the workflow in plain English, AI builds the node map. (4) Automation export — one-click export to Zapier or Make.com to run the workflow. (5) Workflow library — save and share workflows within the team. (6) Step ownership — assign each workflow step to a team member role. Auth: Supabase. Payments: Stripe (R400/mo). Deploy: Vercel.</t>
  </si>
  <si>
    <t xml:space="preserve">Next.js 14, Supabase, React Flow, OpenAI, Zapier/Make.com API, Tailwind CSS, Stripe, Vercel</t>
  </si>
  <si>
    <t xml:space="preserve">Supabase, OpenAI API, React Flow (open source), Zapier API key, Stripe, Vercel</t>
  </si>
  <si>
    <t xml:space="preserve">Build a high-ticket consulting tool called Founder Dependency Audit. It identifies every business function dependent on the founder and builds a delegation roadmap. Stack: Next.js 14, Supabase, Tailwind CSS, OpenAI GPT-4, Resend, Calendly integration, Stripe, Vercel. Core Features: (1) Dependency intake — founder completes 25-question assessment covering: decisions only they make, tasks only they do, relationships only they hold, knowledge only they have. (2) Dependency score — AI scores founder dependency across 5 business domains: sales, operations, finance, HR, delivery. (3) Risk heat map — visual map showing high/medium/low dependency zones. (4) Delegation roadmap — prioritised list of what to hand over first, with suggested timeline and who to hand to. (5) Role gap analysis — identifies what roles need to be created or hired to remove founder from those functions. (6) 1-on-1 session CTA — Calendly booking for follow-up strategy session (high-ticket upsell). Pricing: R497 self-serve audit. R4000–8000 for done-with-you audit package. Auth: Supabase. Payments: Stripe. Deploy: Vercel.</t>
  </si>
  <si>
    <t xml:space="preserve">Next.js 14, Supabase, OpenAI GPT-4, Resend, Calendly API, Stripe, Vercel</t>
  </si>
  <si>
    <t xml:space="preserve">Supabase, OpenAI API, Stripe, Calendly (free account), Resend, Vercel</t>
  </si>
  <si>
    <t xml:space="preserve">R400–600/mo (low infra cost — high-ticket product)</t>
  </si>
  <si>
    <t xml:space="preserve">Build a SaaS called Onboarding Engine. It helps SA client-facing businesses automate a 5-star client onboarding experience from contract-signed to delivery-started. Stack: Next.js 14, Supabase, Tailwind CSS, OpenAI, Resend (email), Calendly API, DocuSign SA, Stripe, Vercel. Core Features: (1) Onboarding flow builder — drag-drop sequence of steps: welcome email, info collection form, contract signing, intro call booking, kickoff pack delivery, first check-in. (2) Auto-triggers — each step triggers automatically on completion of prior step. (3) Client portal — client sees their onboarding progress and outstanding tasks. (4) Intake forms — custom questionnaire per service type. (5) Welcome pack generator — AI generates personalised client welcome document. (6) Check-in automations — day 7, day 30, day 60 automated touchpoint emails. Auth: Supabase. Payments: Stripe (R500/mo). Integrations: Resend, Calendly, DocuSign. Deploy: Vercel.</t>
  </si>
  <si>
    <t xml:space="preserve">Next.js 14, Supabase, OpenAI, Resend, Calendly API, DocuSign API, Stripe, Vercel</t>
  </si>
  <si>
    <t xml:space="preserve">Supabase, OpenAI API, Resend, Calendly, DocuSign SA API, Stripe, Vercel</t>
  </si>
  <si>
    <t xml:space="preserve">Build a SaaS called QC Checklist App. It lets SA production and service teams run digital quality control checklists on every job with photo proof, sign-off and audit trail. Stack: Next.js 14, Supabase + Storage, Tailwind CSS, Resend, Stripe, Vercel. Core Features: (1) Checklist builder — create custom checklists per job type or service. (2) Mobile-first completion — field teams complete checklists on phone with pass/fail/notes per item. (3) Photo capture — attach photos as proof of quality checks (Supabase Storage). (4) Supervisor sign-off — digital approval workflow per completed checklist. (5) Audit trail — full log of who completed what and when — OSHA/ISO compliance ready. (6) Failed item alerts — auto-notify supervisor when any item fails (Resend). (7) Completion reports — PDF summary per job for client handover. Auth: Supabase. Payments: Stripe (R200/mo up to 5 users, R1000/mo Team). Deploy: Vercel.</t>
  </si>
  <si>
    <t xml:space="preserve">Next.js 14, Supabase + Storage, Tailwind CSS, Resend, Stripe, Vercel</t>
  </si>
  <si>
    <t xml:space="preserve">Supabase (with Storage enabled), Resend, Stripe, Vercel</t>
  </si>
  <si>
    <t xml:space="preserve">Build a SaaS called ProcessHQ. It is the central home for all a company's business processes — a living, searchable, version-controlled process library that teams actually use. Stack: Next.js 14, Supabase + Storage, Tailwind CSS, OpenAI GPT-4, Stripe, Vercel. Core Features: (1) Process library — categorised process documents (SOPs, workflows, policies, playbooks) with full-text search. (2) AI process capture — describe a process and AI structures it into a proper document. (3) Version control — every edit tracked with change reason and author. (4) Role-based access — set who can view, edit or publish each process. (5) Process owner — assign an owner per process responsible for keeping it current. (6) Usage analytics — see which processes are accessed most and by whom. (7) Expiry alerts — flag processes not reviewed in 6+ months. Auth: Supabase. Payments: Stripe (R400/mo, R2000/mo Enterprise). Deploy: Vercel.</t>
  </si>
  <si>
    <t xml:space="preserve">Next.js 14, Supabase + Storage, OpenAI GPT-4, Tailwind CSS, Stripe, Vercel</t>
  </si>
  <si>
    <t xml:space="preserve">Supabase (with Storage), OpenAI API, Stripe, Vercel</t>
  </si>
  <si>
    <t xml:space="preserve">Build a SaaS called Ops Manager Dashboard. It gives SA business owners a daily operational command view — every team task, KPI and issue in one screen. Stack: Next.js 14, Supabase, Tailwind CSS, Recharts, Slack API, Google Workspace API, Stripe, Vercel. Core Features: (1) Daily ops pulse — morning view: tasks due today, overdue items, team check-ins, KPIs to update. (2) Team task board — lightweight task management with assignee, due date, priority, status. (3) KPI tiles — manually set daily/weekly KPIs visible to whole leadership team. (4) Issue log — team can raise operational issues; ops manager prioritises and tracks resolution. (5) EOD summary — auto-generated end-of-day summary email showing what was done vs planned (Resend). (6) Slack integration — morning ops pulse sent to #ops channel every day. Auth: Supabase. Payments: Stripe (R400/mo). Deploy: Vercel.</t>
  </si>
  <si>
    <t xml:space="preserve">Next.js 14, Supabase, Tailwind CSS, Recharts, Slack API, Resend, Stripe, Vercel</t>
  </si>
  <si>
    <t xml:space="preserve">Supabase, Slack app credentials, Resend, Stripe, Vercel</t>
  </si>
  <si>
    <t xml:space="preserve">Build a PM SaaS called Delivery Command Centre. It gives SA agencies a single view across all client accounts showing milestones, blockers and deliverables without Jira complexity. Stack: Next.js 14, Supabase, Tailwind CSS, OpenAI, Resend, Recharts, @dnd-kit (drag-drop), Stripe, Vercel. Core Features: (1) Account overview — each client card shows: health status (green/amber/red), active milestones, overdue tasks, next client touchpoint. (2) Milestone tracker — set and track key delivery milestones per client with due date and owner. (3) Task board — kanban per account, drag-drop tasks between stages. (4) Blocker log — any team member can flag a blocker; it escalates to account manager. (5) Client health score — AI scores each account weekly based on task completion, communication frequency and client feedback. (6) Weekly client report — auto-generated progress report emailed to client every Friday (Resend). Auth: Supabase. Payments: Stripe (R500/mo up to 5 clients, R3000/mo unlimited). Deploy: Vercel.</t>
  </si>
  <si>
    <t xml:space="preserve">Next.js 14, Supabase, OpenAI, @dnd-kit, Recharts, Resend, Stripe, Vercel</t>
  </si>
  <si>
    <t xml:space="preserve">Supabase, OpenAI API, Resend, Stripe, Vercel</t>
  </si>
  <si>
    <t xml:space="preserve">Build a SaaS called Done Standard Builder. It helps SA team leaders define exactly what 'done' looks like for every role and task — eliminating the #1 communication breakdown in growing teams. Stack: Next.js 14, Supabase, Tailwind CSS, OpenAI GPT-4, Resend, Stripe, Vercel. Core Features: (1) Role definition — for each role in the company, define the top 10 recurring tasks. (2) Done standard wizard — for each task, AI prompts: what does a pass look like? what does a fail look like? what are the quality markers? (3) Team agreement — team member and manager both sign off on the done standard digitally. (4) Task submission — when team member completes a task, they submit against the done standard. (5) Manager review — one-click approve or flag with comment. (6) Standard library — company-wide library of agreed done standards per role. Auth: Supabase. Payments: Stripe (R300/mo, R1500/mo Team). Deploy: Vercel.</t>
  </si>
  <si>
    <t xml:space="preserve">Build a SaaS called Decision Ladder App. It helps SA companies create clear decision-making authority so teams can decide without asking the founder for everything. Stack: Next.js 14, Supabase, Tailwind CSS, OpenAI GPT-4, Stripe, Vercel. Core Features: (1) Decision category builder — list all types of decisions in the business (hiring, spend, client concessions, pricing changes, etc.). (2) Authority mapping — for each decision type: who decides unilaterally, who recommends, who is informed, what is the spending limit. (3) Decision tree — visual flow for complex decisions (if X then who decides). (4) Team access — team members look up who owns a decision in real-time. (5) Override log — track when founder overrides team decision (reveals dependency patterns). (6) AI ladder builder — describe your org structure, AI suggests a complete decision authority map. Auth: Supabase. Payments: Stripe (R300/mo). Deploy: Vercel.</t>
  </si>
  <si>
    <t xml:space="preserve">Build a management SaaS called Scorecard HQ. It lets SA businesses run EOS/Traction-style weekly scorecards for every department without the expensive consultant. Stack: Next.js 14, Supabase, Tailwind CSS, Recharts, OpenAI, Resend, Stripe, Vercel. Core Features: (1) Scorecard builder — define measurable metrics per department with owner, target and frequency (weekly/monthly). (2) Weekly data entry — team leads enter actuals each week (5-minute process). (3) Traffic light system — green (on target), amber (within 10%), red (off target) per metric. (4) Department scorecard view — each team's scorecard in one clean view. (5) Executive rollup — combined company scorecard for leadership meeting. (6) Historical trends — 13-week rolling chart per metric. (7) Monday morning scorecard email — auto-sent to each team lead (Resend). Auth: Supabase. Payments: Stripe (R500/mo up to 5 teams, R2500/mo unlimited). Deploy: Vercel.</t>
  </si>
  <si>
    <t xml:space="preserve">Next.js 14, Supabase, Recharts, OpenAI, Resend, Stripe, Vercel</t>
  </si>
  <si>
    <t xml:space="preserve">Build a SaaS called Meeting OS. It transforms every SA business meeting from a wasted hour into a structured, outcome-driven session with AI summaries and tracked actions. Stack: Next.js 14, Supabase, Tailwind CSS, OpenAI GPT-4, Google Calendar API, Resend, Stripe, Vercel. Core Features: (1) Meeting agenda builder — template-based agendas (weekly ops, quarterly review, 1:1, strategy). (2) Pre-meeting prep — auto-remind attendees to add agenda items 24h before (Resend). (3) Live notes — real-time collaborative note-taking during meeting. (4) AI summary — GPT-4 converts notes into: decisions made, actions assigned, owners, deadlines. (5) Action tracker — all action items land in a shared tracker with due dates. (6) Meeting health score — tracks meeting duration vs planned, actions completed from last meeting, decisions made per meeting. Auth: Supabase. Payments: Stripe (R200/mo Solo, R1000/mo Team). Google Calendar: OAuth2. Deploy: Vercel.</t>
  </si>
  <si>
    <t xml:space="preserve">Next.js 14, Supabase, OpenAI GPT-4, Google Calendar API, Resend, Stripe, Vercel</t>
  </si>
  <si>
    <t xml:space="preserve">Supabase, OpenAI API, Google Calendar API, Resend, Stripe, Vercel</t>
  </si>
  <si>
    <t xml:space="preserve">Build an HRTech SaaS called Culture Hiring Tool. It helps SA companies hire for culture fit as rigorously as they hire for skills — reducing bad hires and team conflict. Stack: Next.js 14, Supabase, Tailwind CSS, OpenAI GPT-4, Resend, Stripe, Vercel. Core Features: (1) Culture profile builder — company defines its top 5 culture values and what each looks like in behaviour. (2) Culture interview question bank — AI generates behavioural interview questions aligned to each culture value. (3) Candidate scoring — interviewers score each candidate on culture dimensions with notes. (4) Culture fit report — composite score with written justification per value. (5) Comparison view — rank candidates by culture fit score + skills score combined. (6) Red flag alerts — AI flags any response patterns that contradict stated culture values. Auth: Supabase. Payments: Stripe (R500/mo). Deploy: Vercel.</t>
  </si>
  <si>
    <t xml:space="preserve">Build an HRTech SaaS called Review Engine. It helps SA managers run fair, consistent and legally defensible performance reviews without drama or bias. Stack: Next.js 14, Supabase, Tailwind CSS, OpenAI GPT-4, Resend, Stripe, Vercel. Core Features: (1) Review template builder — customise review frequency (quarterly/bi-annual/annual), dimensions (performance, culture, growth), and rating scales. (2) Self-assessment — employee completes self-review before manager review. (3) 360 feedback — optional peer and direct-report feedback collection. (4) Manager review — score employee across all dimensions with written comments. (5) AI calibration — GPT-4 checks for language bias in written comments and suggests neutral rewrites. (6) Review meeting agenda — auto-generate a structured review conversation guide. (7) Development plan output — post-review action plan with goals and timeline. Auth: Supabase. Payments: Stripe (R400/mo). Deploy: Vercel. SA Labour Law note: includes BCEA-compliant language defaults.</t>
  </si>
  <si>
    <t xml:space="preserve">Build a lightweight SaaS called Issue Tracker. It gives SA management teams a simple, structured way to log, assign, prioritise and resolve team issues before they become crises. Stack: Next.js 14, Supabase, Tailwind CSS, Resend, Slack API, Stripe, Vercel. Core Features: (1) Issue log — anyone on the team submits an issue: description, category (ops, people, client, system), impact level. (2) Triage — manager assigns owner, priority (critical/high/medium/low) and target resolution date. (3) Kanban board — issues move through: New → In Progress → Resolved → Closed. (4) Root cause capture — on resolution, owner logs the root cause and permanent fix. (5) Recurring issue alert — AI flags if same issue type has appeared 3+ times in 90 days. (6) Slack integration — new critical issues posted to #issues channel immediately. Auth: Supabase. Payments: Stripe (R200/mo up to 10 users, R1000/mo Team). Deploy: Vercel.</t>
  </si>
  <si>
    <t xml:space="preserve">Next.js 14, Supabase, Tailwind CSS, Resend, Slack API, Stripe, Vercel</t>
  </si>
  <si>
    <t xml:space="preserve">Supabase, Resend, Slack app credentials, Stripe, Vercel</t>
  </si>
  <si>
    <t xml:space="preserve">Build a SaaS called Leader Score App. It gives SA executives and managers an objective measurement of their leadership effectiveness through 360 feedback and AI analysis. Stack: Next.js 14, Supabase, Tailwind CSS, OpenAI GPT-4, Resend, Stripe, Vercel. Core Features: (1) Leadership dimensions — score across 8 dimensions: vision clarity, communication, accountability, team development, decision-making, culture, results delivery, self-awareness. (2) 360 survey — send survey link to direct reports, peers and manager. Responses anonymous. (3) Self-assessment — leader rates themselves before seeing 360 results. (4) Gap analysis — where are self-perception scores highest vs others? (5) AI coaching report — GPT-4 generates personalised development commentary per dimension. (6) Coaching action plan — 3 specific actions per weak dimension. (7) Quarterly re-score — track leader development over time. Auth: Supabase. Payments: Stripe (R300/mo + optional coaching add-on). Deploy: Vercel.</t>
  </si>
  <si>
    <t xml:space="preserve">Build an HRTech SaaS called Talent Grid Tool. It lets SA HR teams and executives plot every employee on a 9-box performance-potential grid for succession planning. Stack: Next.js 14, Supabase, Tailwind CSS, OpenAI, Recharts/custom SVG, Stripe, Vercel. Core Features: (1) 9-box grid builder — plot employees on performance (low/med/high) vs potential (low/med/high) axes. (2) Employee profiles — per employee: current role, tenure, performance scores, development notes, succession readiness. (3) Succession planning — for each key role, tag 1-2 succession candidates from the grid. (4) Development plans — for high-potential employees, attach a structured 12-month development plan. (5) Risk register — flag flight risks and identify critical talent with no succession cover. (6) Grid history — track how individual employees move across the grid over time. Auth: Supabase. Payments: Stripe (R500/mo up to 50 employees, R3000/mo unlimited). Deploy: Vercel.</t>
  </si>
  <si>
    <t xml:space="preserve">Next.js 14, Supabase, OpenAI, Recharts, Tailwind CSS, Stripe, Vercel</t>
  </si>
  <si>
    <t xml:space="preserve">Build a SaaS called Values OS. It helps SA growing companies embed their company values into hiring, performance reviews and daily culture — not just the wall poster. Stack: Next.js 14, Supabase, Tailwind CSS, OpenAI GPT-4, Resend, Stripe, Vercel. Core Features: (1) Values definition workshop — guided tool to define 3–5 company values: name, description, behaviours that show it, behaviours that violate it. (2) Values hiring integration — generate interview questions and scorecards aligned to each value. (3) Values review integration — add values dimension to performance review templates. (4) Values check-in — monthly 1-question pulse: which value did you demonstrate most this week? (5) Values score — aggregate how often each value is demonstrated across the team. (6) Values story wall — share team value stories (acts of culture) publicly inside the company. Auth: Supabase. Payments: Stripe (R300/mo). Deploy: Vercel.</t>
  </si>
  <si>
    <t xml:space="preserve">Build a premium SaaS called Strategy Planner. It guides SA founders and leadership teams through building and executing a 12-month business strategy — replacing R50k consultants. Stack: Next.js 14, Supabase, Tailwind CSS, OpenAI GPT-4, Recharts, Resend, Stripe, Vercel. Core Features: (1) Vision &amp; mission builder — guided inputs with AI refinement. (2) SWOT analysis — structured tool with AI insights per quadrant. (3) Strategic pillars — define 3–5 strategic focus areas for the year. (4) OKR builder — objectives and key results per pillar, per quarter. (5) 90-day sprint planner — break OKRs into 90-day initiatives with owners and milestones. (6) Monthly strategy review — structured check-in: what's on track, what's off track, what are we doing about it. (7) Strategy deck export — auto-generate a clean strategy presentation PDF. Auth: Supabase. Payments: Stripe (R500/mo Solo, R3000/mo Leadership Team). Deploy: Vercel.</t>
  </si>
  <si>
    <t xml:space="preserve">Next.js 14, Supabase, OpenAI GPT-4, Recharts, Puppeteer (PDF), Resend, Stripe, Vercel</t>
  </si>
  <si>
    <t xml:space="preserve">Supabase, OpenAI API, Puppeteer or html-pdf-node, Stripe, Resend, Vercel</t>
  </si>
  <si>
    <t xml:space="preserve">Build a SaaS called 5-Year Vision Builder. It takes SA founders through a structured workshop to extract, clarify and commit to a compelling 5-year vision — then turns it into an actionable plan. Stack: Next.js 14, Supabase, Tailwind CSS, OpenAI GPT-4, html2canvas, Stripe, Vercel. Core Features: (1) Vision workshop — guided questions across: desired business size, lifestyle, impact, legacy, finances, family. (2) AI vision synthesiser — GPT-4 converts answers into a compelling written vision narrative. (3) Vision canvas — one-page visual showing the 5-year destination. (4) Milestone builder — work backwards from 5-year vision to 3-year, 1-year, 90-day milestones. (5) Weekly alignment check — every Monday: "Does your plan for this week move you toward your 5-year vision?" (6) Vision board — visual mood board attached to the vision. Auth: Supabase. Payments: Stripe (R300/mo or R1500 one-time). Deploy: Vercel.</t>
  </si>
  <si>
    <t xml:space="preserve">Next.js 14, Supabase, OpenAI GPT-4, html2canvas, Tailwind CSS, Stripe, Vercel</t>
  </si>
  <si>
    <t xml:space="preserve">Build an HRTech SaaS called A-Player Profile Builder. It helps SA companies define exactly what an A-Player looks like in every role — so hiring becomes precise and performance management becomes clear. Stack: Next.js 14, Supabase, Tailwind CSS, OpenAI GPT-4, Stripe, Resend, Vercel. Core Features: (1) Role selection — input job title and department. (2) A-Player profile generator — AI generates: top 5 outcomes this role must achieve, competencies required, attitude markers, red flags, ideal background profile. (3) Interview scorecard — auto-generated interview questions aligned to each A-Player dimension. (4) Onboarding benchmark — defines what '90-day success' looks like for an A-Player in this role. (5) Profile library — save A-Player profiles for every role in the company. (6) AI vs current team — optionally compare current team member to A-Player profile and identify gaps. Auth: Supabase. Payments: Stripe (R200/mo, R1000/mo Team). Deploy: Vercel.</t>
  </si>
  <si>
    <t xml:space="preserve">Build a survey SaaS called Culture Health Check. It gives SA CEOs and HR directors a real culture score for their company in 48 hours — with actionable recommendations. Stack: Next.js 14, Supabase, Tailwind CSS, OpenAI GPT-4, Resend, Recharts, Puppeteer (PDF), Stripe, Vercel. Core Features: (1) Culture survey — 20-question anonymous survey sent to all employees (Resend). (2) Response collection — real-time response tracking, auto-reminders at 60% and 80% completion. (3) Culture score — AI generates company culture score (0–100) across 7 dimensions: purpose, belonging, trust, growth, recognition, communication, leadership. (4) Benchmark comparison — how does the company compare to SA industry benchmarks? (5) Top 3 culture issues — most critical findings with specific recommended interventions. (6) Executive report — polished PDF for board/leadership presentation. Pricing: R1500 per culture check. R3000/mo for quarterly tracking. Auth: Supabase. Payments: Stripe. Deploy: Vercel.</t>
  </si>
  <si>
    <t xml:space="preserve">Next.js 14, Supabase, OpenAI GPT-4, Resend, Recharts, Puppeteer, Stripe, Vercel</t>
  </si>
  <si>
    <t xml:space="preserve">Supabase, OpenAI API, Resend, Puppeteer, Stripe, Vercel</t>
  </si>
  <si>
    <t xml:space="preserve">Build an HRTech SaaS called Performance PIP Builder. It helps SA HR managers and line managers create fair, legally defensible and motivating Performance Improvement Plans in minutes. Stack: Next.js 14, Supabase, Tailwind CSS, OpenAI GPT-4, Resend, Stripe, Vercel. Core Features: (1) PIP intake — input employee name, role, performance concerns, prior feedback given. (2) AI PIP generator — GPT-4 creates a complete PIP: specific concerns, expected standards, measurable milestones, review dates, support offered, consequence of non-improvement. (3) SA Labour Law compliance check — AI flags language that may violate BCEA or LRA. (4) Manager/employee sign-off — digital acknowledgement from both parties. (5) Progress tracker — log weekly check-ins against PIP milestones. (6) Outcome recording — mark PIP as successfully completed, extended or escalated. Auth: Supabase. Payments: Stripe (R300/mo). Deploy: Vercel.</t>
  </si>
  <si>
    <t xml:space="preserve">Build a SaaS called Brand Story Builder. It helps SA HR and marketing teams build a compelling employer brand and EVP (Employee Value Proposition) to attract top talent. Stack: Next.js 14, Supabase, Tailwind CSS, OpenAI GPT-4, Canva API or html2canvas, Stripe, Vercel. Core Features: (1) EVP workshop — what makes working here different: culture, growth, leadership, rewards, purpose, flexibility. (2) AI brand story generator — GPT-4 crafts a compelling employer brand narrative. (3) Content library — generate 30 employer brand posts (LinkedIn, Instagram, Glassdoor) from the EVP. (4) Career page copy — AI writes the careers page, about us section, and benefits copy. (5) Candidate experience map — what does a candidate experience at each stage of your hiring process? (6) Brand assets — generate visual employer brand content (Canva-style templates). Auth: Supabase. Payments: Stripe (R500/mo). Deploy: Vercel.</t>
  </si>
  <si>
    <t xml:space="preserve">Build a SaaS called Win Wall App. It is a team recognition and culture platform where SA companies celebrate wins publicly — building a culture of acknowledgment and momentum. Stack: Next.js 14, Supabase, Tailwind CSS, Slack API, WhatsApp Business API (or link), Stripe, Vercel. Core Features: (1) Win submission — any team member submits a win: their own or a colleague's. Category: client win, personal growth, team milestone, values demonstration. (2) Public win wall — live feed of company wins visible to whole team. (3) Reactions — team members react to wins with emojis (celebration, fire, etc.). (4) Slack integration — new wins auto-posted to #wins Slack channel. (5) Weekly win digest — every Friday, top 3 wins of the week emailed to whole team (Resend). (6) Win analytics — track which team members are recognised most, which categories dominate. Auth: Supabase. Payments: Stripe (R100/mo up to 10, R500/mo Team). Deploy: Vercel.</t>
  </si>
  <si>
    <t xml:space="preserve">Next.js 14, Supabase, Tailwind CSS, Slack API, Resend, Stripe, Vercel</t>
  </si>
  <si>
    <t xml:space="preserve">R300–500/mo (very low cost)</t>
  </si>
  <si>
    <t xml:space="preserve">Build a FinTech SaaS called Equity Simulator. It lets SA founders model different equity splits, dilution scenarios and vesting schedules without needing a lawyer for every scenario. Stack: Next.js 14, Supabase, Tailwind CSS, Recharts, OpenAI, Stripe, Vercel. Core Features: (1) Cap table builder — add founders, investors, ESOP pool with percentage or share amounts. (2) Funding round simulator — model Series A, angel, or seed round and see dilution per stakeholder. (3) Vesting schedule builder — 4-year vest 1-year cliff standard, or custom schedules per co-founder. (4) Exit scenario modelling — input a target exit valuation and see each stakeholder's payout. (5) Fair split calculator — input each co-founder's contribution (idea, capital, execution, network) and get an AI-suggested fair split. (6) PDF cap table — exportable cap table for investor meetings or legal review. Auth: Supabase. Payments: Stripe (R300/mo). Deploy: Vercel. Disclaimer: Not legal advice — recommend they verify with attorney.</t>
  </si>
  <si>
    <t xml:space="preserve">Next.js 14, Supabase, Recharts, OpenAI, Puppeteer (PDF), Stripe, Vercel</t>
  </si>
  <si>
    <t xml:space="preserve">Supabase, OpenAI API, Puppeteer, Stripe, Vercel</t>
  </si>
  <si>
    <t xml:space="preserve">Build an HRTech SaaS called Culture Onboarding Portal. It gives new hires a curated culture experience starting before their first day — dramatically improving retention in the first 90 days. Stack: Next.js 14, Supabase + Storage, Tailwind CSS, OpenAI GPT-4, Resend, Mux (video), Stripe, Vercel. Core Features: (1) Pre-start journey — 5-day email sequence before day 1: welcome video from CEO, culture story, team bios, "what to expect" guide (Resend). (2) Day-1 portal — personalised portal with: company values, team org chart, role expectations, 30-60-90 day plan. (3) Culture modules — short video modules on company culture, values in action, and "how we work" (Mux). (4) Buddy assignment — system matches new hire to a culture buddy for first 30 days. (5) Check-in prompts — automated 7-day, 30-day, 60-day sentiment check-ins. (6) Manager dashboard — see each new hire's onboarding progress and sentiment score. Auth: Supabase. Payments: Stripe (R300/mo per new hire slot, R1500/mo unlimited). Deploy: Vercel.</t>
  </si>
  <si>
    <t xml:space="preserve">Next.js 14, Supabase + Storage, OpenAI, Resend, Mux, Stripe, Vercel</t>
  </si>
  <si>
    <t xml:space="preserve">Supabase (with Storage), OpenAI API, Resend, Mux video account, Stripe, Vercel</t>
  </si>
  <si>
    <t xml:space="preserve">R1200–2000/mo (Mux is main cost)</t>
  </si>
  <si>
    <t xml:space="preserve">Build an HRTech SaaS called Next Leader Tracker. It helps SA CEOs and HR directors identify, develop and track high-potential future leaders before the leadership gap appears. Stack: Next.js 14, Supabase, Tailwind CSS, OpenAI GPT-4, Recharts, Resend, Stripe, Vercel. Core Features: (1) High-potential tagging — identify employees with leadership potential and add them to the tracker. (2) Leadership readiness scoring — score each HiPo across: results delivery, people skills, learning agility, strategic thinking, values alignment. (3) Development plan — assign each HiPo a personalised 12-month development plan with milestones. (4) Stretch assignment tracker — log leadership stretch experiences (led a project, managed a crisis, represented company externally). (5) Succession role mapping — tag which senior roles each HiPo is being developed for. (6) Quarterly progress review — structured check-in against development plan milestones. Auth: Supabase. Payments: Stripe (R400/mo). Deploy: Vercel.</t>
  </si>
  <si>
    <t xml:space="preserve">Next.js 14, Supabase, OpenAI GPT-4, Recharts, Resend, Tailwind CSS, Stripe, Vercel</t>
  </si>
  <si>
    <t xml:space="preserve">Build a SaaS called Playbook Studio. It lets SA businesses create living, searchable, beautifully structured playbooks for every department — that teams actually use and update. Stack: Next.js 14, Supabase + Storage, Tailwind CSS, OpenAI GPT-4, rich text editor (Tiptap), Stripe, Vercel. Core Features: (1) Playbook builder — rich text editor (Tiptap) with headings, checklists, code blocks, embeds, images. (2) AI content assist — GPT-4 helps write, restructure or improve any section on demand. (3) Playbook templates — pre-built SA-specific playbooks: sales playbook, client delivery playbook, hiring playbook, ops playbook. (4) Team publishing — publish playbooks to specific roles or whole team. (5) Search — full-text search across all playbooks and sections. (6) Version history — every edit tracked with author and timestamp. (7) Usage tracking — see which playbook sections are read most (identifies knowledge gaps). Auth: Supabase. Payments: Stripe (R400/mo Solo, R2000/mo Team). Deploy: Vercel.</t>
  </si>
  <si>
    <t xml:space="preserve">Next.js 14, Supabase + Storage, Tiptap (rich text editor), OpenAI GPT-4, Tailwind CSS, Stripe, Vercel</t>
  </si>
  <si>
    <t xml:space="preserve">Supabase (with Storage + full-text search), Tiptap (open source), OpenAI API, Stripe, Vercel</t>
  </si>
  <si>
    <t xml:space="preserve">⚙️  RUN REQUIREMENTS — WHAT YOU NEED TO BUILD AND RUN EACH TOOL</t>
  </si>
  <si>
    <t xml:space="preserve">All tools use: Next.js 14 | Supabase | Tailwind CSS | Stripe | Vercel — Additional requirements listed below per tool</t>
  </si>
  <si>
    <t xml:space="preserve">FRONTEND</t>
  </si>
  <si>
    <t xml:space="preserve">BACKEND / DB</t>
  </si>
  <si>
    <t xml:space="preserve">AI / APIs</t>
  </si>
  <si>
    <t xml:space="preserve">OTHER SERVICES</t>
  </si>
  <si>
    <t xml:space="preserve">MONTHLY INFRA (R)</t>
  </si>
  <si>
    <t xml:space="preserve">BUILD TIME</t>
  </si>
  <si>
    <t xml:space="preserve">SKILL LEVEL</t>
  </si>
  <si>
    <t xml:space="preserve">MVP LAUNCH TIP</t>
  </si>
  <si>
    <t xml:space="preserve">Next.js 14 + Tailwind CSS</t>
  </si>
  <si>
    <t xml:space="preserve">Supabase (client logs)</t>
  </si>
  <si>
    <t xml:space="preserve">OpenAI GPT-4 (response engine)</t>
  </si>
  <si>
    <t xml:space="preserve">WATI (WhatsApp Business API), Resend, Stripe, Vercel</t>
  </si>
  <si>
    <t xml:space="preserve">R1200–2000/mo (WATI is main cost)</t>
  </si>
  <si>
    <t xml:space="preserve">2–3 weeks setup</t>
  </si>
  <si>
    <t xml:space="preserve">Beginner</t>
  </si>
  <si>
    <t xml:space="preserve">Get your first client BEFORE building dashboard — manage in WATI manually first</t>
  </si>
  <si>
    <t xml:space="preserve">Supabase (lead records)</t>
  </si>
  <si>
    <t xml:space="preserve">OpenAI GPT-4 (qualification scoring)</t>
  </si>
  <si>
    <t xml:space="preserve">WATI (WhatsApp alerts), Typeform or custom form, Stripe, Vercel</t>
  </si>
  <si>
    <t xml:space="preserve">R1000–1500/mo</t>
  </si>
  <si>
    <t xml:space="preserve">2–3 weeks per client</t>
  </si>
  <si>
    <t xml:space="preserve">Offer 30-day free trial — removes all objection. Close 1 estate agent this week</t>
  </si>
  <si>
    <t xml:space="preserve">n8n (workflow engine)</t>
  </si>
  <si>
    <t xml:space="preserve">Cal.com + Supabase (bookings)</t>
  </si>
  <si>
    <t xml:space="preserve">OpenAI GPT-4 (message parsing)</t>
  </si>
  <si>
    <t xml:space="preserve">WATI, Hetzner VPS (n8n hosting R200/mo), Google Calendar API</t>
  </si>
  <si>
    <t xml:space="preserve">1–2 weeks per client</t>
  </si>
  <si>
    <t xml:space="preserve">Beginner — mostly no-code n8n</t>
  </si>
  <si>
    <t xml:space="preserve">Walk in with a live phone demo — show a booking being made in real-time</t>
  </si>
  <si>
    <t xml:space="preserve">Niche Micro-SaaS (Tutor)</t>
  </si>
  <si>
    <t xml:space="preserve">Supabase + Storage (invoices)</t>
  </si>
  <si>
    <t xml:space="preserve">None required for v1</t>
  </si>
  <si>
    <t xml:space="preserve">Stripe, Resend, Vercel</t>
  </si>
  <si>
    <t xml:space="preserve">R400–700/mo at 50 users</t>
  </si>
  <si>
    <t xml:space="preserve">4–5 weeks MVP</t>
  </si>
  <si>
    <t xml:space="preserve">Sell to 3 tutors you know personally before writing a line of code</t>
  </si>
  <si>
    <t xml:space="preserve">n8n, Clay.com, Instantly.ai</t>
  </si>
  <si>
    <t xml:space="preserve">Google Sheets (tracking)</t>
  </si>
  <si>
    <t xml:space="preserve">OpenAI GPT-4 (personalisation)</t>
  </si>
  <si>
    <t xml:space="preserve">Clay.com (R900/mo), Instantly.ai (R400/mo), WATI (R800/mo), Apollo.io</t>
  </si>
  <si>
    <t xml:space="preserve">R2500–4000/mo tools</t>
  </si>
  <si>
    <t xml:space="preserve">1 week (pure service)</t>
  </si>
  <si>
    <t xml:space="preserve">Beginner — no code at all</t>
  </si>
  <si>
    <t xml:space="preserve">Close your first client verbally before spending any money on tools</t>
  </si>
  <si>
    <t xml:space="preserve">Supabase (client data)</t>
  </si>
  <si>
    <t xml:space="preserve">OpenAI GPT-4 (reconciliation + commentary)</t>
  </si>
  <si>
    <t xml:space="preserve">Xero API (OAuth2), n8n, Resend, Stripe, Vercel</t>
  </si>
  <si>
    <t xml:space="preserve">4–6 weeks setup</t>
  </si>
  <si>
    <t xml:space="preserve">Intermediate — Xero OAuth2 is the complexity</t>
  </si>
  <si>
    <t xml:space="preserve">Start with ONLY the invoice chaser automation — close 3 accounting firms on that alone</t>
  </si>
  <si>
    <t xml:space="preserve">Supabase (lead + listing data)</t>
  </si>
  <si>
    <t xml:space="preserve">OpenAI GPT-4 (qualification + content)</t>
  </si>
  <si>
    <t xml:space="preserve">WATI, n8n (self-hosted R200/mo), Resend, Stripe, Vercel</t>
  </si>
  <si>
    <t xml:space="preserve">3–4 weeks setup</t>
  </si>
  <si>
    <t xml:space="preserve">Beginner-Intermediate</t>
  </si>
  <si>
    <t xml:space="preserve">Walk into top estate agency with a listing description generator demo — closes on the spot</t>
  </si>
  <si>
    <t xml:space="preserve">Supabase (content library)</t>
  </si>
  <si>
    <t xml:space="preserve">OpenAI GPT-4 (content generation)</t>
  </si>
  <si>
    <t xml:space="preserve">Meta Graph API, Buffer API, Canva API, Stripe, Vercel</t>
  </si>
  <si>
    <t xml:space="preserve">R800–1500/mo (SaaS) or R300/mo (service tools only)</t>
  </si>
  <si>
    <t xml:space="preserve">0 weeks service / 4–5 weeks SaaS</t>
  </si>
  <si>
    <t xml:space="preserve">Start as a pure service using GPT-4 + Canva + Buffer manually — SaaS only after 10 paying clients</t>
  </si>
  <si>
    <t xml:space="preserve">Apollo.io, Clay.com, Instantly.ai</t>
  </si>
  <si>
    <t xml:space="preserve">Google Sheets</t>
  </si>
  <si>
    <t xml:space="preserve">Apollo.io (R600/mo), Instantly.ai (R400/mo), WATI (R800/mo), Clay.com (R900/mo)</t>
  </si>
  <si>
    <t xml:space="preserve">R2700–3500/mo tools (covered by 1 retainer)</t>
  </si>
  <si>
    <t xml:space="preserve">1 week (no build)</t>
  </si>
  <si>
    <t xml:space="preserve">Beginner — pure service</t>
  </si>
  <si>
    <t xml:space="preserve">First client should be someone in your network who sells B2B — offer free first month</t>
  </si>
  <si>
    <t xml:space="preserve">Next.js 14 + Python</t>
  </si>
  <si>
    <t xml:space="preserve">Supabase (processed records)</t>
  </si>
  <si>
    <t xml:space="preserve">Google Vision API (OCR), OpenAI GPT-4 (validation)</t>
  </si>
  <si>
    <t xml:space="preserve">n8n (self-hosted), Xero API, Stripe, Vercel, Hetzner VPS</t>
  </si>
  <si>
    <t xml:space="preserve">4–6 weeks per client setup</t>
  </si>
  <si>
    <t xml:space="preserve">Intermediate — OCR pipeline has complexity</t>
  </si>
  <si>
    <t xml:space="preserve">Demo with a logistics company's actual paper invoice — live demo converts immediately</t>
  </si>
  <si>
    <t xml:space="preserve">Supabase (all data)</t>
  </si>
  <si>
    <t xml:space="preserve">OpenAI GPT-4, Google Vision API</t>
  </si>
  <si>
    <t xml:space="preserve">WATI, n8n, Google Maps API, Stripe, Vercel, Hetzner VPS</t>
  </si>
  <si>
    <t xml:space="preserve">12–16 weeks full build</t>
  </si>
  <si>
    <t xml:space="preserve">Advanced — this is a company build</t>
  </si>
  <si>
    <t xml:space="preserve">Land your anchor client FIRST with a consulting engagement. Build around their real workflow</t>
  </si>
  <si>
    <t xml:space="preserve">Supabase (agent logs + configs)</t>
  </si>
  <si>
    <t xml:space="preserve">OpenAI Assistants API, CrewAI (agent orchestration)</t>
  </si>
  <si>
    <t xml:space="preserve">WATI, n8n, Stripe, Vercel — plus client-specific APIs</t>
  </si>
  <si>
    <t xml:space="preserve">14–20 weeks</t>
  </si>
  <si>
    <t xml:space="preserve">Advanced — multi-agent orchestration is complex</t>
  </si>
  <si>
    <t xml:space="preserve">Deploy 1 agent (AR chaser) in your own business first as proof of concept</t>
  </si>
  <si>
    <t xml:space="preserve">AI Hiring AI (Agents)</t>
  </si>
  <si>
    <t xml:space="preserve">Supabase (agent registry + configs)</t>
  </si>
  <si>
    <t xml:space="preserve">OpenAI Assistants API, CrewAI/LangGraph</t>
  </si>
  <si>
    <t xml:space="preserve">Stripe Connect, Vercel — significant OpenAI API costs</t>
  </si>
  <si>
    <t xml:space="preserve">20–30 weeks platform build</t>
  </si>
  <si>
    <t xml:space="preserve">Expert</t>
  </si>
  <si>
    <t xml:space="preserve">Pre-sell to 3 enterprise clients before building — validate demand and price point first</t>
  </si>
  <si>
    <t xml:space="preserve">SaaS Outcome Agency</t>
  </si>
  <si>
    <t xml:space="preserve">Notion + Google Docs</t>
  </si>
  <si>
    <t xml:space="preserve">None required</t>
  </si>
  <si>
    <t xml:space="preserve">Stripe (invoicing), Calendly (booking), Loom (video deliverables)</t>
  </si>
  <si>
    <t xml:space="preserve">R800/mo tools only</t>
  </si>
  <si>
    <t xml:space="preserve">1 week to launch</t>
  </si>
  <si>
    <t xml:space="preserve">Advanced consulting skill — need business model expertise</t>
  </si>
  <si>
    <t xml:space="preserve">Your first audit client should be a SaaS founder in your network — offer R2500 for first audit</t>
  </si>
  <si>
    <t xml:space="preserve">Supabase (scan results + reports)</t>
  </si>
  <si>
    <t xml:space="preserve">OpenAI GPT-4 (analysis + reports)</t>
  </si>
  <si>
    <t xml:space="preserve">Shodan API (R500/mo), HaveIBeenPwned API, Stripe, Vercel</t>
  </si>
  <si>
    <t xml:space="preserve">8–12 weeks</t>
  </si>
  <si>
    <t xml:space="preserve">Expert — requires genuine cybersecurity knowledge</t>
  </si>
  <si>
    <t xml:space="preserve">Start with POPIA compliance audits only — lower complexity, massive SA demand right now</t>
  </si>
  <si>
    <t xml:space="preserve">Supabase (data warehouse)</t>
  </si>
  <si>
    <t xml:space="preserve">OpenAI GPT-4 function calling (SQL generation)</t>
  </si>
  <si>
    <t xml:space="preserve">Xero API, HubSpot API, GA4 API, Recharts, Stripe, Vercel</t>
  </si>
  <si>
    <t xml:space="preserve">R3000–6000/mo at scale (API costs)</t>
  </si>
  <si>
    <t xml:space="preserve">12–16 weeks platform build</t>
  </si>
  <si>
    <t xml:space="preserve">Advanced</t>
  </si>
  <si>
    <t xml:space="preserve">Start with ONE data source (Xero only). Prove value before connecting more systems</t>
  </si>
  <si>
    <t xml:space="preserve">Supabase (realtime CRM data)</t>
  </si>
  <si>
    <t xml:space="preserve">OpenAI GPT-4 (AI features)</t>
  </si>
  <si>
    <t xml:space="preserve">WATI, Gmail API, Recharts, Stripe, Vercel</t>
  </si>
  <si>
    <t xml:space="preserve">16–20 weeks full CRM build</t>
  </si>
  <si>
    <t xml:space="preserve">Advanced — large, complex codebase</t>
  </si>
  <si>
    <t xml:space="preserve">Build ONLY pipeline + AI next action first. Validate with 10 users before adding more features</t>
  </si>
  <si>
    <t xml:space="preserve">Supabase (templates + history)</t>
  </si>
  <si>
    <t xml:space="preserve">OpenAI GPT-4 (generation + brand voice)</t>
  </si>
  <si>
    <t xml:space="preserve">4–6 weeks MVP (30 templates first)</t>
  </si>
  <si>
    <t xml:space="preserve">Build 30 SA-specific templates first — template quality IS the product</t>
  </si>
  <si>
    <t xml:space="preserve">Supabase (listings + reviews)</t>
  </si>
  <si>
    <t xml:space="preserve">OpenAI (search assistance)</t>
  </si>
  <si>
    <t xml:space="preserve">Algolia (search R400/mo), Stripe, Vercel</t>
  </si>
  <si>
    <t xml:space="preserve">12–18 months for traction</t>
  </si>
  <si>
    <t xml:space="preserve">Expert + platform cold-start challenge</t>
  </si>
  <si>
    <t xml:space="preserve">Manually onboard 50 AI agents yourself before launch — solve the cold start problem first</t>
  </si>
  <si>
    <t xml:space="preserve">Supabase (marketplace data)</t>
  </si>
  <si>
    <t xml:space="preserve">OpenAI, LangChain/CrewAI (agent runtime)</t>
  </si>
  <si>
    <t xml:space="preserve">Stripe Connect, PayFast SA, Vercel</t>
  </si>
  <si>
    <t xml:space="preserve">24–36 months to meaningful GMV</t>
  </si>
  <si>
    <t xml:space="preserve">Expert + requires VC funding</t>
  </si>
  <si>
    <t xml:space="preserve">Start as a curated directory with 10 hand-picked agents. Build marketplace mechanics only after demand is proven</t>
  </si>
  <si>
    <t xml:space="preserve">Next.js 14 + WebSockets</t>
  </si>
  <si>
    <t xml:space="preserve">Supabase (graph DB)</t>
  </si>
  <si>
    <t xml:space="preserve">OpenAI API, custom agent runtime</t>
  </si>
  <si>
    <t xml:space="preserve">WebSockets (realtime), Vercel — VC funding required</t>
  </si>
  <si>
    <t xml:space="preserve">36–60 months</t>
  </si>
  <si>
    <t xml:space="preserve">Expert + VC-backed venture</t>
  </si>
  <si>
    <t xml:space="preserve">Start with a developer Discord community and API spec — zero cost, validate interest first</t>
  </si>
  <si>
    <t xml:space="preserve">Next.js 14</t>
  </si>
  <si>
    <t xml:space="preserve">Supabase</t>
  </si>
  <si>
    <t xml:space="preserve">OpenAI GPT-4, CrewAI/LangGraph (full orchestration)</t>
  </si>
  <si>
    <t xml:space="preserve">Stripe, Vercel + 50+ API integrations, significant engineering team</t>
  </si>
  <si>
    <t xml:space="preserve">36–60 months + team of 20+</t>
  </si>
  <si>
    <t xml:space="preserve">Expert + VC-backed</t>
  </si>
  <si>
    <t xml:space="preserve">Start with ONLY the business plan generator module — launch as standalone product first</t>
  </si>
  <si>
    <t xml:space="preserve">Supabase (portfolio tracking)</t>
  </si>
  <si>
    <t xml:space="preserve">OpenAI GPT-4 (analysis tools)</t>
  </si>
  <si>
    <t xml:space="preserve">Notion (cohort management), Stripe, Vercel, physical space + legal structure</t>
  </si>
  <si>
    <t xml:space="preserve">R200000+/cohort</t>
  </si>
  <si>
    <t xml:space="preserve">6–12 months to first cohort</t>
  </si>
  <si>
    <t xml:space="preserve">Expert + significant capital</t>
  </si>
  <si>
    <t xml:space="preserve">Run cohort 1 entirely manually — Zoom + Notion + GPT-4. Build tech only after cohort 1 is done</t>
  </si>
  <si>
    <t xml:space="preserve">Next.js 14 (registry)</t>
  </si>
  <si>
    <t xml:space="preserve">Supabase (certification registry)</t>
  </si>
  <si>
    <t xml:space="preserve">GPTZero/Copyleaks (detection)</t>
  </si>
  <si>
    <t xml:space="preserve">Stripe, Vercel, legal entity, brand design budget (R50000+)</t>
  </si>
  <si>
    <t xml:space="preserve">R3000–5000/mo platform (revenue from fees)</t>
  </si>
  <si>
    <t xml:space="preserve">12–18 months to credible position</t>
  </si>
  <si>
    <t xml:space="preserve">Expert + requires industry relationships</t>
  </si>
  <si>
    <t xml:space="preserve">Partner with 1 SA professional body to pilot before broad launch</t>
  </si>
  <si>
    <t xml:space="preserve">Eventbrite (events)</t>
  </si>
  <si>
    <t xml:space="preserve">None — physical logistics</t>
  </si>
  <si>
    <t xml:space="preserve">Stripe, physical venue, catering, marketing</t>
  </si>
  <si>
    <t xml:space="preserve">R5000–20000 per event cost</t>
  </si>
  <si>
    <t xml:space="preserve">4–8 weeks to first event</t>
  </si>
  <si>
    <t xml:space="preserve">Intermediate — events + community building</t>
  </si>
  <si>
    <t xml:space="preserve">Run a small test dinner (8 people, R300/seat) in next 30 days — validate before scaling</t>
  </si>
  <si>
    <t xml:space="preserve">Supabase + Storage</t>
  </si>
  <si>
    <t xml:space="preserve">OpenAI GPT-4 (AI coaching + practice)</t>
  </si>
  <si>
    <t xml:space="preserve">Mux (video hosting), Stripe, Resend, Vercel</t>
  </si>
  <si>
    <t xml:space="preserve">8–12 months full curriculum</t>
  </si>
  <si>
    <t xml:space="preserve">Intermediate — content creation is the main bottleneck</t>
  </si>
  <si>
    <t xml:space="preserve">Launch a free 5-day email course first. Build platform only after 500 email subscribers</t>
  </si>
  <si>
    <t xml:space="preserve">Supabase (with full RLS + audit logs)</t>
  </si>
  <si>
    <t xml:space="preserve">OpenAI API (anomaly detection)</t>
  </si>
  <si>
    <t xml:space="preserve">OAuth2/SSO, Stripe, Vercel — enterprise security compliance required</t>
  </si>
  <si>
    <t xml:space="preserve">18–24 months enterprise-ready</t>
  </si>
  <si>
    <t xml:space="preserve">Expert — security architecture needs senior engineering</t>
  </si>
  <si>
    <t xml:space="preserve">Start as a consulting service (AI governance frameworks) while building the software</t>
  </si>
  <si>
    <t xml:space="preserve">OpenAI GPT-4 (risk analysis)</t>
  </si>
  <si>
    <t xml:space="preserve">HaveIBeenPwned API, Google OAuth API, Stripe, Vercel</t>
  </si>
  <si>
    <t xml:space="preserve">4–6 weeks MVP</t>
  </si>
  <si>
    <t xml:space="preserve">Intermediate</t>
  </si>
  <si>
    <t xml:space="preserve">Launch with just POPIA compliance checklist + breach checker — two features, immediate value</t>
  </si>
  <si>
    <t xml:space="preserve">OpenAI GPT-4 (niche analysis + roadmap)</t>
  </si>
  <si>
    <t xml:space="preserve">SerpAPI (market data R500/mo), Mux (video), Stripe, Vercel</t>
  </si>
  <si>
    <t xml:space="preserve">8–10 weeks MVP</t>
  </si>
  <si>
    <t xml:space="preserve">Start with community (WhatsApp + newsletter) first — build software only after 200 subscribers</t>
  </si>
  <si>
    <t xml:space="preserve">OpenAI GPT-4 (content assistance)</t>
  </si>
  <si>
    <t xml:space="preserve">Stripe API (MRR pull), Vercel</t>
  </si>
  <si>
    <t xml:space="preserve">Start with a newsletter and WhatsApp group today. Platform only after 200 subscribers</t>
  </si>
  <si>
    <t xml:space="preserve">Supabase (auth, DB, realtime)</t>
  </si>
  <si>
    <t xml:space="preserve">OpenAI GPT-4 (weekly analysis)</t>
  </si>
  <si>
    <t xml:space="preserve">Stripe (payments), Resend (email), Vercel (hosting)</t>
  </si>
  <si>
    <t xml:space="preserve">R800–1500</t>
  </si>
  <si>
    <t xml:space="preserve">4–6 weeks</t>
  </si>
  <si>
    <t xml:space="preserve">Beginner — use Cursor AI</t>
  </si>
  <si>
    <t xml:space="preserve">Launch with manual time entry first, add calendar sync in v2</t>
  </si>
  <si>
    <t xml:space="preserve">Supabase + Storage (CV/portfolio upload)</t>
  </si>
  <si>
    <t xml:space="preserve">OpenAI GPT-4 (matching engine)</t>
  </si>
  <si>
    <t xml:space="preserve">Stripe Connect (commissions), Vercel</t>
  </si>
  <si>
    <t xml:space="preserve">R1200–2000</t>
  </si>
  <si>
    <t xml:space="preserve">Start by manually matching VAs — automate after 20 successful matches</t>
  </si>
  <si>
    <t xml:space="preserve">OpenAI GPT-4 (SOP generation)</t>
  </si>
  <si>
    <t xml:space="preserve">Stripe, Notion API (export), Vercel</t>
  </si>
  <si>
    <t xml:space="preserve">R600–1200</t>
  </si>
  <si>
    <t xml:space="preserve">The AI prompt is the product — spend 3h perfecting the SOP system prompt</t>
  </si>
  <si>
    <t xml:space="preserve">OpenAI GPT-4 (audit analysis)</t>
  </si>
  <si>
    <t xml:space="preserve">Stripe, Resend, Puppeteer (PDF), Vercel</t>
  </si>
  <si>
    <t xml:space="preserve">R500–900</t>
  </si>
  <si>
    <t xml:space="preserve">3–4 weeks</t>
  </si>
  <si>
    <t xml:space="preserve">Launch as a Typeform + Zapier + GPT prototype before building the full app</t>
  </si>
  <si>
    <t xml:space="preserve">OpenAI GPT-4 (pattern insights)</t>
  </si>
  <si>
    <t xml:space="preserve">Stripe, Resend, Chart.js, Vercel</t>
  </si>
  <si>
    <t xml:space="preserve">R400–700</t>
  </si>
  <si>
    <t xml:space="preserve">Simplest build in BOS-1 — great first project with Cursor AI</t>
  </si>
  <si>
    <t xml:space="preserve">OpenAI (alert analysis)</t>
  </si>
  <si>
    <t xml:space="preserve">Xero API, HubSpot API, Stripe, Slack webhooks, Vercel</t>
  </si>
  <si>
    <t xml:space="preserve">R1500–3000</t>
  </si>
  <si>
    <t xml:space="preserve">10–14 weeks</t>
  </si>
  <si>
    <t xml:space="preserve">Intermediate-Advanced</t>
  </si>
  <si>
    <t xml:space="preserve">Build without API integrations first — manual KPI input as v1</t>
  </si>
  <si>
    <t xml:space="preserve">OpenAI GPT-4 (JD + question generation)</t>
  </si>
  <si>
    <t xml:space="preserve">Very form-heavy — use Cursor AI to generate all the form logic</t>
  </si>
  <si>
    <t xml:space="preserve">OpenAI GPT-4 (AI coaching scenarios)</t>
  </si>
  <si>
    <t xml:space="preserve">Mux (video streaming), Stripe, Resend, Vercel</t>
  </si>
  <si>
    <t xml:space="preserve">R1500–2500</t>
  </si>
  <si>
    <t xml:space="preserve">Record 5 Loom videos first — validate content before building LMS</t>
  </si>
  <si>
    <t xml:space="preserve">OpenAI (overload detection)</t>
  </si>
  <si>
    <t xml:space="preserve">Stripe, Slack API, Recharts, Vercel</t>
  </si>
  <si>
    <t xml:space="preserve">R600–1000</t>
  </si>
  <si>
    <t xml:space="preserve">5–7 weeks</t>
  </si>
  <si>
    <t xml:space="preserve">Skip Slack integration for MVP — manual web logging first</t>
  </si>
  <si>
    <t xml:space="preserve">Supabase (minimal)</t>
  </si>
  <si>
    <t xml:space="preserve">OpenAI GPT-4 (action plan)</t>
  </si>
  <si>
    <t xml:space="preserve">Resend (lead capture), Vercel (free tier)</t>
  </si>
  <si>
    <t xml:space="preserve">R200–400</t>
  </si>
  <si>
    <t xml:space="preserve">2–3 weeks</t>
  </si>
  <si>
    <t xml:space="preserve">Build this first — it's your lead gen for the whole BOS platform</t>
  </si>
  <si>
    <t xml:space="preserve">OpenAI GPT-4 (offer generation)</t>
  </si>
  <si>
    <t xml:space="preserve">Stripe, Vercel</t>
  </si>
  <si>
    <t xml:space="preserve">Heavy on GPT-4 prompting — test prompt iterations before coding the UI</t>
  </si>
  <si>
    <t xml:space="preserve">OpenAI GPT-4 (niche scoring)</t>
  </si>
  <si>
    <t xml:space="preserve">SerpAPI (Google Trends data), Stripe, Vercel</t>
  </si>
  <si>
    <t xml:space="preserve">R500–800</t>
  </si>
  <si>
    <t xml:space="preserve">4–5 weeks</t>
  </si>
  <si>
    <t xml:space="preserve">Use SerpAPI for Google Trends — R500/mo but saves weeks of scraping work</t>
  </si>
  <si>
    <t xml:space="preserve">OpenAI (insights)</t>
  </si>
  <si>
    <t xml:space="preserve">Xero API (OAuth2), Recharts, Stripe, Vercel</t>
  </si>
  <si>
    <t xml:space="preserve">R700–1200</t>
  </si>
  <si>
    <t xml:space="preserve">Xero OAuth2 is the hardest part — set up a Xero developer account first</t>
  </si>
  <si>
    <t xml:space="preserve">OpenAI (alignment scoring)</t>
  </si>
  <si>
    <t xml:space="preserve">GA4 API, Meta Ads API, Recharts, Stripe, Vercel</t>
  </si>
  <si>
    <t xml:space="preserve">R900–1500</t>
  </si>
  <si>
    <t xml:space="preserve">7–9 weeks</t>
  </si>
  <si>
    <t xml:space="preserve">Build with manual input first — GA4 and Meta API add 3 weeks</t>
  </si>
  <si>
    <t xml:space="preserve">R300–600</t>
  </si>
  <si>
    <t xml:space="preserve">Fastest build on this list — launch in 2 weeks with Cursor AI</t>
  </si>
  <si>
    <t xml:space="preserve">OpenAI GPT-4 (audit + rewrite)</t>
  </si>
  <si>
    <t xml:space="preserve">Stripe, Puppeteer (PDF), Resend, Vercel</t>
  </si>
  <si>
    <t xml:space="preserve">The audit system prompt is your IP — write it as if you're an expert copywriter</t>
  </si>
  <si>
    <t xml:space="preserve">OpenAI GPT-4 (canvas content)</t>
  </si>
  <si>
    <t xml:space="preserve">html2canvas (visual export), Stripe, Vercel</t>
  </si>
  <si>
    <t xml:space="preserve">The visual canvas output is the differentiator — invest in the design quality</t>
  </si>
  <si>
    <t xml:space="preserve">OpenAI GPT-4 (script generation + roleplay)</t>
  </si>
  <si>
    <t xml:space="preserve">3–5 weeks</t>
  </si>
  <si>
    <t xml:space="preserve">Build the SA script template library manually — this is the content moat</t>
  </si>
  <si>
    <t xml:space="preserve">OpenAI GPT-4 (ICP generation)</t>
  </si>
  <si>
    <t xml:space="preserve">Add LinkedIn search string generation — massive value for B2B users</t>
  </si>
  <si>
    <t xml:space="preserve">OpenAI (conversion analysis)</t>
  </si>
  <si>
    <t xml:space="preserve">GA4 (tracking), Stripe, Vercel</t>
  </si>
  <si>
    <t xml:space="preserve">The instant landing page generator is the hero feature — nail this UX first</t>
  </si>
  <si>
    <t xml:space="preserve">OpenAI GPT-4 (channel scoring)</t>
  </si>
  <si>
    <t xml:space="preserve">Recharts, Stripe, Vercel</t>
  </si>
  <si>
    <t xml:space="preserve">The SA channel scoring framework is the IP — build this logic carefully</t>
  </si>
  <si>
    <t xml:space="preserve">Resend (email sending), Stripe, Vercel</t>
  </si>
  <si>
    <t xml:space="preserve">6–8 weeks</t>
  </si>
  <si>
    <t xml:space="preserve">Email deliverability setup (SPF, DKIM, DMARC) is critical — do this on day 1</t>
  </si>
  <si>
    <t xml:space="preserve">OpenAI (deal scoring)</t>
  </si>
  <si>
    <t xml:space="preserve">Stripe Connect (commissions + payouts), Resend, Vercel</t>
  </si>
  <si>
    <t xml:space="preserve">8–10 weeks</t>
  </si>
  <si>
    <t xml:space="preserve">Stripe Connect setup is complex — read Stripe Connect docs fully before starting</t>
  </si>
  <si>
    <t xml:space="preserve">Resend (email capture), Vercel (free tier)</t>
  </si>
  <si>
    <t xml:space="preserve">R100–200</t>
  </si>
  <si>
    <t xml:space="preserve">1–2 weeks</t>
  </si>
  <si>
    <t xml:space="preserve">Zero infra cost. Build in a weekend. The email list is the business.</t>
  </si>
  <si>
    <t xml:space="preserve">OpenAI (next-action prompts)</t>
  </si>
  <si>
    <t xml:space="preserve">HubSpot API, @dnd-kit (kanban), Recharts, Stripe, Vercel</t>
  </si>
  <si>
    <t xml:space="preserve">Use @dnd-kit for kanban drag-drop — it's the best open-source option</t>
  </si>
  <si>
    <t xml:space="preserve">OpenAI GPT-4 (bottleneck analysis)</t>
  </si>
  <si>
    <t xml:space="preserve">HubSpot/Pipedrive API, Resend, Recharts, Stripe, Vercel</t>
  </si>
  <si>
    <t xml:space="preserve">R800–1300</t>
  </si>
  <si>
    <t xml:space="preserve">Start with CSV pipeline import — add HubSpot API sync in v2</t>
  </si>
  <si>
    <t xml:space="preserve">OpenAI (benchmark insights)</t>
  </si>
  <si>
    <t xml:space="preserve">Stripe API (revenue data), Recharts, Puppeteer (PDF), Stripe, Vercel</t>
  </si>
  <si>
    <t xml:space="preserve">Stripe API data pull is straightforward — great learning project</t>
  </si>
  <si>
    <t xml:space="preserve">OpenAI (growth insights)</t>
  </si>
  <si>
    <t xml:space="preserve">Build with manual metric input first — API integrations add 3 weeks</t>
  </si>
  <si>
    <t xml:space="preserve">OpenAI GPT-4 (roleplay coach)</t>
  </si>
  <si>
    <t xml:space="preserve">Mux (video), Stripe, Resend, Vercel</t>
  </si>
  <si>
    <t xml:space="preserve">Content creation is the bottleneck — record 5 Loom modules to validate first</t>
  </si>
  <si>
    <t xml:space="preserve">OpenAI (content recommendations)</t>
  </si>
  <si>
    <t xml:space="preserve">GA4 API, HubSpot API, Meta Pixel, Recharts, Stripe, Vercel</t>
  </si>
  <si>
    <t xml:space="preserve">UTM tracking setup is the foundation — document UTM structure clearly upfront</t>
  </si>
  <si>
    <t xml:space="preserve">Stripe, Notion API (optional), Resend, Vercel</t>
  </si>
  <si>
    <t xml:space="preserve">Spend 2h perfecting the SOP generation prompt — it is the whole product</t>
  </si>
  <si>
    <t xml:space="preserve">OpenAI GPT-4 (ops analysis)</t>
  </si>
  <si>
    <t xml:space="preserve">Consulting-grade product delivered as software — price at consulting rates</t>
  </si>
  <si>
    <t xml:space="preserve">OpenAI (workflow generation)</t>
  </si>
  <si>
    <t xml:space="preserve">React Flow (node editor), Zapier API, Stripe, Vercel</t>
  </si>
  <si>
    <t xml:space="preserve">React Flow is the key library — study docs for 2 days before starting</t>
  </si>
  <si>
    <t xml:space="preserve">OpenAI GPT-4 (dependency analysis)</t>
  </si>
  <si>
    <t xml:space="preserve">Stripe, Resend, Calendly API, Vercel</t>
  </si>
  <si>
    <t xml:space="preserve">R400–600</t>
  </si>
  <si>
    <t xml:space="preserve">Build this in 2 weeks — it's a high-ticket intake form with AI output</t>
  </si>
  <si>
    <t xml:space="preserve">OpenAI (welcome pack)</t>
  </si>
  <si>
    <t xml:space="preserve">Resend, Calendly API, DocuSign API, Stripe, Vercel</t>
  </si>
  <si>
    <t xml:space="preserve">Map your own client onboarding before coding — build from lived experience</t>
  </si>
  <si>
    <t xml:space="preserve">Supabase + Storage (photos)</t>
  </si>
  <si>
    <t xml:space="preserve">Resend (alerts), Stripe, Vercel</t>
  </si>
  <si>
    <t xml:space="preserve">Mobile-first UI is critical — test every screen on a real phone before launch</t>
  </si>
  <si>
    <t xml:space="preserve">OpenAI GPT-4 (process capture)</t>
  </si>
  <si>
    <t xml:space="preserve">Stripe, Vercel — pg_trgm for full-text search</t>
  </si>
  <si>
    <t xml:space="preserve">Enable pg_trgm extension in Supabase for full-text search across process docs</t>
  </si>
  <si>
    <t xml:space="preserve">OpenAI (bottleneck alerts)</t>
  </si>
  <si>
    <t xml:space="preserve">Slack API, Recharts, Resend, Stripe, Vercel</t>
  </si>
  <si>
    <t xml:space="preserve">Skip Slack for MVP — add it in v2 once core dashboard is proven</t>
  </si>
  <si>
    <t xml:space="preserve">OpenAI (account health scoring)</t>
  </si>
  <si>
    <t xml:space="preserve">@dnd-kit (kanban), Recharts, Resend, Stripe, Vercel</t>
  </si>
  <si>
    <t xml:space="preserve">The account health score formula is the moat — design it carefully</t>
  </si>
  <si>
    <t xml:space="preserve">OpenAI GPT-4 (done criteria suggestions)</t>
  </si>
  <si>
    <t xml:space="preserve">The digital team sign-off mechanic is the core — design a clean agreement UX</t>
  </si>
  <si>
    <t xml:space="preserve">OpenAI (authority map suggestions)</t>
  </si>
  <si>
    <t xml:space="preserve">Study RACI matrix methodology before building — it is the logic foundation</t>
  </si>
  <si>
    <t xml:space="preserve">OpenAI (scorecard insights)</t>
  </si>
  <si>
    <t xml:space="preserve">Recharts (13-week trends), Resend, Stripe, Vercel</t>
  </si>
  <si>
    <t xml:space="preserve">Read Traction by Gino Wickman before building — understand EOS scorecard deeply</t>
  </si>
  <si>
    <t xml:space="preserve">OpenAI GPT-4 (meeting summaries)</t>
  </si>
  <si>
    <t xml:space="preserve">Google Calendar API (OAuth2), Resend, Stripe, Vercel</t>
  </si>
  <si>
    <t xml:space="preserve">The AI summary feature is the hero — test it with real meeting notes before launch</t>
  </si>
  <si>
    <t xml:space="preserve">OpenAI GPT-4 (questions + scoring)</t>
  </si>
  <si>
    <t xml:space="preserve">Culture values definition workshop is the onboarding anchor — make it engaging</t>
  </si>
  <si>
    <t xml:space="preserve">OpenAI GPT-4 (bias check + review)</t>
  </si>
  <si>
    <t xml:space="preserve">Add SA BCEA-compliant language defaults — HR teams will love the compliance angle</t>
  </si>
  <si>
    <t xml:space="preserve">OpenAI (recurring issue detection)</t>
  </si>
  <si>
    <t xml:space="preserve">Slack API, Resend, Stripe, Vercel</t>
  </si>
  <si>
    <t xml:space="preserve">Simplest build in BOS-5 — launch this first and upsell to full BOS platform</t>
  </si>
  <si>
    <t xml:space="preserve">OpenAI GPT-4 (coaching report)</t>
  </si>
  <si>
    <t xml:space="preserve">Anonymous survey collection is the core trust feature — design privacy carefully</t>
  </si>
  <si>
    <t xml:space="preserve">OpenAI (development plan suggestions)</t>
  </si>
  <si>
    <t xml:space="preserve">Recharts (9-box grid), Stripe, Vercel</t>
  </si>
  <si>
    <t xml:space="preserve">5–6 weeks</t>
  </si>
  <si>
    <t xml:space="preserve">The interactive 9-box grid visualisation is the hero UI — invest in clean design</t>
  </si>
  <si>
    <t xml:space="preserve">OpenAI GPT-4 (values content)</t>
  </si>
  <si>
    <t xml:space="preserve">Values definition workshop is the emotional anchor — make it a genuine discovery experience</t>
  </si>
  <si>
    <t xml:space="preserve">OpenAI GPT-4 (strategy analysis)</t>
  </si>
  <si>
    <t xml:space="preserve">Recharts (OKR tracking), Puppeteer (PDF), Stripe, Resend, Vercel</t>
  </si>
  <si>
    <t xml:space="preserve">Read Good Strategy Bad Strategy before building — know what strategy is</t>
  </si>
  <si>
    <t xml:space="preserve">OpenAI GPT-4 (vision narrative)</t>
  </si>
  <si>
    <t xml:space="preserve">html2canvas (vision canvas), Stripe, Vercel</t>
  </si>
  <si>
    <t xml:space="preserve">The vision narrative output is the emotional hook — perfect the GPT-4 prompt</t>
  </si>
  <si>
    <t xml:space="preserve">OpenAI GPT-4 (role profile generation)</t>
  </si>
  <si>
    <t xml:space="preserve">Train the GPT-4 prompt with 10 real SA role examples for much better output</t>
  </si>
  <si>
    <t xml:space="preserve">OpenAI GPT-4 (culture analysis)</t>
  </si>
  <si>
    <t xml:space="preserve">Resend (survey delivery), Recharts, Puppeteer (PDF), Stripe, Vercel</t>
  </si>
  <si>
    <t xml:space="preserve">Survey anonymity is legally important — design data isolation from day one</t>
  </si>
  <si>
    <t xml:space="preserve">OpenAI GPT-4 (PIP generation + compliance)</t>
  </si>
  <si>
    <t xml:space="preserve">Get a SA labour lawyer to review PIP templates before launch — compliance is the product</t>
  </si>
  <si>
    <t xml:space="preserve">OpenAI GPT-4 (brand content generation)</t>
  </si>
  <si>
    <t xml:space="preserve">html2canvas, Stripe, Vercel</t>
  </si>
  <si>
    <t xml:space="preserve">The 30-post social content library feature is the biggest value-add — perfect that</t>
  </si>
  <si>
    <t xml:space="preserve">R300–500</t>
  </si>
  <si>
    <t xml:space="preserve">Simplest on the list — launch in 2 weeks, Slack integration makes it viral</t>
  </si>
  <si>
    <t xml:space="preserve">OpenAI (split suggestions + commentary)</t>
  </si>
  <si>
    <t xml:space="preserve">Recharts (cap table), Puppeteer (PDF), Stripe, Vercel</t>
  </si>
  <si>
    <t xml:space="preserve">The maths must be perfect — manually verify every cap table calculation before launch</t>
  </si>
  <si>
    <t xml:space="preserve">OpenAI (welcome pack content)</t>
  </si>
  <si>
    <t xml:space="preserve">Mux (video), Resend, Stripe, Vercel</t>
  </si>
  <si>
    <t xml:space="preserve">The pre-start email sequence alone justifies the price — launch that feature first</t>
  </si>
  <si>
    <t xml:space="preserve">OpenAI GPT-4 (development plan)</t>
  </si>
  <si>
    <t xml:space="preserve">Recharts, Resend, Stripe, Vercel</t>
  </si>
  <si>
    <t xml:space="preserve">Bundle with Talent Grid Tool (78) as a premium succession planning package</t>
  </si>
  <si>
    <t xml:space="preserve">OpenAI GPT-4 (content assist)</t>
  </si>
  <si>
    <t xml:space="preserve">Tiptap (rich text editor), Stripe, Vercel</t>
  </si>
  <si>
    <t xml:space="preserve">Tiptap is the best open-source rich text editor — read its docs before starting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</si>
</sst>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1"/>
      <color rgb="FFAAAAA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155724"/>
      <name val="Arial"/>
      <family val="0"/>
      <charset val="1"/>
    </font>
    <font>
      <b val="true"/>
      <sz val="9"/>
      <color rgb="FF15803D"/>
      <name val="Arial"/>
      <family val="0"/>
      <charset val="1"/>
    </font>
    <font>
      <b val="true"/>
      <sz val="9"/>
      <color rgb="FF155724"/>
      <name val="Arial"/>
      <family val="0"/>
      <charset val="1"/>
    </font>
    <font>
      <b val="true"/>
      <sz val="9"/>
      <color rgb="FF856404"/>
      <name val="Arial"/>
      <family val="0"/>
      <charset val="1"/>
    </font>
    <font>
      <sz val="9"/>
      <color rgb="FF856404"/>
      <name val="Arial"/>
      <family val="0"/>
      <charset val="1"/>
    </font>
    <font>
      <b val="true"/>
      <sz val="9"/>
      <color rgb="FF721C24"/>
      <name val="Arial"/>
      <family val="0"/>
      <charset val="1"/>
    </font>
    <font>
      <sz val="9"/>
      <color rgb="FF004085"/>
      <name val="Arial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D7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AAAAAA"/>
      <name val="Arial"/>
      <family val="0"/>
      <charset val="1"/>
    </font>
    <font>
      <sz val="8"/>
      <color rgb="FFFFFFFF"/>
      <name val="Arial"/>
      <family val="0"/>
      <charset val="1"/>
    </font>
    <font>
      <sz val="9"/>
      <color rgb="FF843C0C"/>
      <name val="Arial"/>
      <family val="0"/>
      <charset val="1"/>
    </font>
    <font>
      <sz val="9"/>
      <color rgb="FF4A148C"/>
      <name val="Arial"/>
      <family val="0"/>
      <charset val="1"/>
    </font>
    <font>
      <sz val="9"/>
      <color rgb="FF1B5E2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FFD700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sz val="10"/>
      <color rgb="FF555555"/>
      <name val="Calibri"/>
      <family val="0"/>
      <charset val="1"/>
    </font>
  </fonts>
  <fills count="25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0F3460"/>
        <bgColor rgb="FF004085"/>
      </patternFill>
    </fill>
    <fill>
      <patternFill patternType="solid">
        <fgColor rgb="FFD4EDDA"/>
        <bgColor rgb="FFE8F5E9"/>
      </patternFill>
    </fill>
    <fill>
      <patternFill patternType="solid">
        <fgColor rgb="FFFFF3CD"/>
        <bgColor rgb="FFFCE4D6"/>
      </patternFill>
    </fill>
    <fill>
      <patternFill patternType="solid">
        <fgColor rgb="FFF8D7DA"/>
        <bgColor rgb="FFFCE4D6"/>
      </patternFill>
    </fill>
    <fill>
      <patternFill patternType="solid">
        <fgColor rgb="FFCCE5FF"/>
        <bgColor rgb="FFD4EDDA"/>
      </patternFill>
    </fill>
    <fill>
      <patternFill patternType="solid">
        <fgColor rgb="FFFFE0C4"/>
        <bgColor rgb="FFFCE4D6"/>
      </patternFill>
    </fill>
    <fill>
      <patternFill patternType="solid">
        <fgColor rgb="FFE8D5FF"/>
        <bgColor rgb="FFEDE7F6"/>
      </patternFill>
    </fill>
    <fill>
      <patternFill patternType="solid">
        <fgColor rgb="FF1B5E20"/>
        <bgColor rgb="FF155724"/>
      </patternFill>
    </fill>
    <fill>
      <patternFill patternType="solid">
        <fgColor rgb="FFF57F17"/>
        <bgColor rgb="FFFF8080"/>
      </patternFill>
    </fill>
    <fill>
      <patternFill patternType="solid">
        <fgColor rgb="FFE65100"/>
        <bgColor rgb="FFBF360C"/>
      </patternFill>
    </fill>
    <fill>
      <patternFill patternType="solid">
        <fgColor rgb="FFBF360C"/>
        <bgColor rgb="FFE65100"/>
      </patternFill>
    </fill>
    <fill>
      <patternFill patternType="solid">
        <fgColor rgb="FFFCE4D6"/>
        <bgColor rgb="FFFFE0C4"/>
      </patternFill>
    </fill>
    <fill>
      <patternFill patternType="solid">
        <fgColor rgb="FF4A148C"/>
        <bgColor rgb="FF1A237E"/>
      </patternFill>
    </fill>
    <fill>
      <patternFill patternType="solid">
        <fgColor rgb="FFEDE7F6"/>
        <bgColor rgb="FFF2F2F2"/>
      </patternFill>
    </fill>
    <fill>
      <patternFill patternType="solid">
        <fgColor rgb="FF1A237E"/>
        <bgColor rgb="FF0F3460"/>
      </patternFill>
    </fill>
    <fill>
      <patternFill patternType="solid">
        <fgColor rgb="FFE8F5E9"/>
        <bgColor rgb="FFF2F2F2"/>
      </patternFill>
    </fill>
    <fill>
      <patternFill patternType="solid">
        <fgColor rgb="FFF2F2F2"/>
        <bgColor rgb="FFE8F5E9"/>
      </patternFill>
    </fill>
    <fill>
      <patternFill patternType="solid">
        <fgColor rgb="FF00695C"/>
        <bgColor rgb="FF15803D"/>
      </patternFill>
    </fill>
    <fill>
      <patternFill patternType="solid">
        <fgColor rgb="FFF8F9FA"/>
        <bgColor rgb="FFFFFFFF"/>
      </patternFill>
    </fill>
    <fill>
      <patternFill patternType="solid">
        <fgColor rgb="FFF0FFF4"/>
        <bgColor rgb="FFF8F9FA"/>
      </patternFill>
    </fill>
    <fill>
      <patternFill patternType="solid">
        <fgColor rgb="FF16213E"/>
        <bgColor rgb="FF1A1A2E"/>
      </patternFill>
    </fill>
    <fill>
      <patternFill patternType="solid">
        <fgColor rgb="FF1A4A44"/>
        <bgColor rgb="FF15572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1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1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1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9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19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19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2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2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2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2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2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23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29" fillId="2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2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9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21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4" fillId="3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5" fillId="21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2" fillId="2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0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0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0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0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0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4" fillId="3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ill>
        <patternFill patternType="solid">
          <fgColor rgb="FF0F3460"/>
          <bgColor rgb="FF000000"/>
        </patternFill>
      </fill>
    </dxf>
    <dxf>
      <fill>
        <patternFill patternType="solid">
          <fgColor rgb="FF1A237E"/>
          <bgColor rgb="FF000000"/>
        </patternFill>
      </fill>
    </dxf>
    <dxf>
      <fill>
        <patternFill patternType="solid">
          <fgColor rgb="FF1B5E20"/>
          <bgColor rgb="FF000000"/>
        </patternFill>
      </fill>
    </dxf>
    <dxf>
      <fill>
        <patternFill patternType="solid">
          <fgColor rgb="FF4A148C"/>
          <bgColor rgb="FF000000"/>
        </patternFill>
      </fill>
    </dxf>
    <dxf>
      <fill>
        <patternFill patternType="solid">
          <fgColor rgb="FFBF360C"/>
          <bgColor rgb="FF000000"/>
        </patternFill>
      </fill>
    </dxf>
    <dxf>
      <fill>
        <patternFill patternType="solid">
          <fgColor rgb="FFD4EDDA"/>
          <bgColor rgb="FF000000"/>
        </patternFill>
      </fill>
    </dxf>
    <dxf>
      <fill>
        <patternFill patternType="solid">
          <fgColor rgb="FFE65100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EDE7F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57F17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55724"/>
          <bgColor rgb="FF000000"/>
        </patternFill>
      </fill>
    </dxf>
    <dxf>
      <fill>
        <patternFill patternType="solid">
          <fgColor rgb="FF843C0C"/>
          <bgColor rgb="FF000000"/>
        </patternFill>
      </fill>
    </dxf>
    <dxf>
      <fill>
        <patternFill patternType="solid">
          <fgColor rgb="FF85640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721C24"/>
      <rgbColor rgb="FF15803D"/>
      <rgbColor rgb="FF000080"/>
      <rgbColor rgb="FF856404"/>
      <rgbColor rgb="FF800080"/>
      <rgbColor rgb="FF00695C"/>
      <rgbColor rgb="FFCCCCCC"/>
      <rgbColor rgb="FF808080"/>
      <rgbColor rgb="FFF8F9FA"/>
      <rgbColor rgb="FFBF360C"/>
      <rgbColor rgb="FFFFF3CD"/>
      <rgbColor rgb="FFE8F5E9"/>
      <rgbColor rgb="FF4A148C"/>
      <rgbColor rgb="FFFF8080"/>
      <rgbColor rgb="FF004085"/>
      <rgbColor rgb="FFD0D0D0"/>
      <rgbColor rgb="FF000080"/>
      <rgbColor rgb="FFFF00FF"/>
      <rgbColor rgb="FFF0FFF4"/>
      <rgbColor rgb="FF00FFFF"/>
      <rgbColor rgb="FF800080"/>
      <rgbColor rgb="FF800000"/>
      <rgbColor rgb="FF1B5E20"/>
      <rgbColor rgb="FF0000FF"/>
      <rgbColor rgb="FF00CCFF"/>
      <rgbColor rgb="FFCCE5FF"/>
      <rgbColor rgb="FFD4EDDA"/>
      <rgbColor rgb="FFFCE4D6"/>
      <rgbColor rgb="FFE8D5FF"/>
      <rgbColor rgb="FFF8D7DA"/>
      <rgbColor rgb="FFEDE7F6"/>
      <rgbColor rgb="FFFFE0C4"/>
      <rgbColor rgb="FF3366FF"/>
      <rgbColor rgb="FF33CCCC"/>
      <rgbColor rgb="FF99CC00"/>
      <rgbColor rgb="FFFFD700"/>
      <rgbColor rgb="FFF57F17"/>
      <rgbColor rgb="FFE65100"/>
      <rgbColor rgb="FF555555"/>
      <rgbColor rgb="FFAAAAAA"/>
      <rgbColor rgb="FF0F3460"/>
      <rgbColor rgb="FF155724"/>
      <rgbColor rgb="FF1A4A44"/>
      <rgbColor rgb="FF1A1A2E"/>
      <rgbColor rgb="FF843C0C"/>
      <rgbColor rgb="FF993366"/>
      <rgbColor rgb="FF1A237E"/>
      <rgbColor rgb="FF1621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3" min="3" style="1" width="9"/>
    <col collapsed="false" customWidth="true" hidden="false" outlineLevel="0" max="4" min="4" style="1" width="18"/>
    <col collapsed="false" customWidth="true" hidden="false" outlineLevel="0" max="5" min="5" style="1" width="22"/>
    <col collapsed="false" customWidth="true" hidden="false" outlineLevel="0" max="6" min="6" style="1" width="20"/>
    <col collapsed="false" customWidth="true" hidden="false" outlineLevel="0" max="9" min="7" style="1" width="14"/>
    <col collapsed="false" customWidth="true" hidden="false" outlineLevel="0" max="10" min="10" style="1" width="18"/>
    <col collapsed="false" customWidth="true" hidden="false" outlineLevel="0" max="11" min="11" style="1" width="13"/>
    <col collapsed="false" customWidth="true" hidden="false" outlineLevel="0" max="12" min="12" style="1" width="14"/>
    <col collapsed="false" customWidth="true" hidden="false" outlineLevel="0" max="13" min="13" style="1" width="20"/>
    <col collapsed="false" customWidth="true" hidden="false" outlineLevel="0" max="14" min="14" style="1" width="14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30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</row>
    <row r="4" customFormat="false" ht="21.75" hidden="false" customHeight="true" outlineLevel="0" collapsed="false">
      <c r="A4" s="5" t="n">
        <v>1</v>
      </c>
      <c r="B4" s="6" t="s">
        <v>16</v>
      </c>
      <c r="C4" s="7" t="s">
        <v>17</v>
      </c>
      <c r="D4" s="5" t="s">
        <v>18</v>
      </c>
      <c r="E4" s="5" t="s">
        <v>19</v>
      </c>
      <c r="F4" s="5" t="s">
        <v>20</v>
      </c>
      <c r="G4" s="5" t="n">
        <v>500</v>
      </c>
      <c r="H4" s="5" t="n">
        <v>2000</v>
      </c>
      <c r="I4" s="5" t="n">
        <v>5000</v>
      </c>
      <c r="J4" s="5" t="s">
        <v>21</v>
      </c>
      <c r="K4" s="5" t="n">
        <v>2</v>
      </c>
      <c r="L4" s="5" t="s">
        <v>22</v>
      </c>
      <c r="M4" s="8" t="n">
        <f aca="false">G4*12*50</f>
        <v>300000</v>
      </c>
      <c r="N4" s="9" t="n">
        <v>95</v>
      </c>
    </row>
    <row r="5" customFormat="false" ht="21.75" hidden="false" customHeight="true" outlineLevel="0" collapsed="false">
      <c r="A5" s="5" t="n">
        <v>2</v>
      </c>
      <c r="B5" s="6" t="s">
        <v>23</v>
      </c>
      <c r="C5" s="7" t="s">
        <v>17</v>
      </c>
      <c r="D5" s="5" t="s">
        <v>24</v>
      </c>
      <c r="E5" s="5" t="s">
        <v>25</v>
      </c>
      <c r="F5" s="5" t="s">
        <v>26</v>
      </c>
      <c r="G5" s="5" t="n">
        <v>1000</v>
      </c>
      <c r="H5" s="5" t="n">
        <v>8000</v>
      </c>
      <c r="I5" s="5" t="n">
        <v>8000</v>
      </c>
      <c r="J5" s="5" t="s">
        <v>21</v>
      </c>
      <c r="K5" s="5" t="n">
        <v>2</v>
      </c>
      <c r="L5" s="5" t="s">
        <v>22</v>
      </c>
      <c r="M5" s="8" t="n">
        <f aca="false">G5*12*30</f>
        <v>360000</v>
      </c>
      <c r="N5" s="9" t="n">
        <v>92</v>
      </c>
    </row>
    <row r="6" customFormat="false" ht="21.75" hidden="false" customHeight="true" outlineLevel="0" collapsed="false">
      <c r="A6" s="5" t="n">
        <v>3</v>
      </c>
      <c r="B6" s="6" t="s">
        <v>27</v>
      </c>
      <c r="C6" s="7" t="s">
        <v>17</v>
      </c>
      <c r="D6" s="5" t="s">
        <v>18</v>
      </c>
      <c r="E6" s="5" t="s">
        <v>28</v>
      </c>
      <c r="F6" s="5" t="s">
        <v>29</v>
      </c>
      <c r="G6" s="5" t="n">
        <v>1300</v>
      </c>
      <c r="H6" s="5" t="n">
        <v>5000</v>
      </c>
      <c r="I6" s="5" t="n">
        <v>10000</v>
      </c>
      <c r="J6" s="5" t="s">
        <v>21</v>
      </c>
      <c r="K6" s="5" t="n">
        <v>2</v>
      </c>
      <c r="L6" s="5" t="s">
        <v>22</v>
      </c>
      <c r="M6" s="8" t="n">
        <f aca="false">G6*12*40</f>
        <v>624000</v>
      </c>
      <c r="N6" s="9" t="n">
        <v>90</v>
      </c>
    </row>
    <row r="7" customFormat="false" ht="21.75" hidden="false" customHeight="true" outlineLevel="0" collapsed="false">
      <c r="A7" s="5" t="n">
        <v>4</v>
      </c>
      <c r="B7" s="6" t="s">
        <v>30</v>
      </c>
      <c r="C7" s="7" t="s">
        <v>17</v>
      </c>
      <c r="D7" s="5" t="s">
        <v>31</v>
      </c>
      <c r="E7" s="5" t="s">
        <v>32</v>
      </c>
      <c r="F7" s="5" t="s">
        <v>33</v>
      </c>
      <c r="G7" s="5" t="n">
        <v>100</v>
      </c>
      <c r="H7" s="5" t="n">
        <v>500</v>
      </c>
      <c r="I7" s="5" t="n">
        <v>15000</v>
      </c>
      <c r="J7" s="5" t="s">
        <v>34</v>
      </c>
      <c r="K7" s="5" t="n">
        <v>3</v>
      </c>
      <c r="L7" s="5" t="s">
        <v>35</v>
      </c>
      <c r="M7" s="8" t="n">
        <f aca="false">G7*12*100</f>
        <v>120000</v>
      </c>
      <c r="N7" s="9" t="n">
        <v>85</v>
      </c>
    </row>
    <row r="8" customFormat="false" ht="21.75" hidden="false" customHeight="true" outlineLevel="0" collapsed="false">
      <c r="A8" s="5" t="n">
        <v>5</v>
      </c>
      <c r="B8" s="6" t="s">
        <v>36</v>
      </c>
      <c r="C8" s="7" t="s">
        <v>17</v>
      </c>
      <c r="D8" s="5" t="s">
        <v>37</v>
      </c>
      <c r="E8" s="5" t="s">
        <v>38</v>
      </c>
      <c r="F8" s="5" t="s">
        <v>39</v>
      </c>
      <c r="G8" s="5" t="n">
        <v>2000</v>
      </c>
      <c r="H8" s="5" t="n">
        <v>10000</v>
      </c>
      <c r="I8" s="5" t="n">
        <v>3000</v>
      </c>
      <c r="J8" s="5" t="s">
        <v>40</v>
      </c>
      <c r="K8" s="5" t="n">
        <v>2</v>
      </c>
      <c r="L8" s="5" t="s">
        <v>22</v>
      </c>
      <c r="M8" s="8" t="n">
        <f aca="false">G8*12*20</f>
        <v>480000</v>
      </c>
      <c r="N8" s="9" t="n">
        <v>88</v>
      </c>
    </row>
    <row r="9" customFormat="false" ht="21.75" hidden="false" customHeight="true" outlineLevel="0" collapsed="false">
      <c r="A9" s="5" t="n">
        <v>6</v>
      </c>
      <c r="B9" s="6" t="s">
        <v>41</v>
      </c>
      <c r="C9" s="7" t="s">
        <v>17</v>
      </c>
      <c r="D9" s="5" t="s">
        <v>18</v>
      </c>
      <c r="E9" s="5" t="s">
        <v>42</v>
      </c>
      <c r="F9" s="5" t="s">
        <v>20</v>
      </c>
      <c r="G9" s="5" t="n">
        <v>1000</v>
      </c>
      <c r="H9" s="5" t="n">
        <v>5000</v>
      </c>
      <c r="I9" s="5" t="n">
        <v>12000</v>
      </c>
      <c r="J9" s="5" t="s">
        <v>43</v>
      </c>
      <c r="K9" s="5" t="n">
        <v>3</v>
      </c>
      <c r="L9" s="5" t="s">
        <v>35</v>
      </c>
      <c r="M9" s="8" t="n">
        <f aca="false">G9*12*25</f>
        <v>300000</v>
      </c>
      <c r="N9" s="10" t="n">
        <v>82</v>
      </c>
    </row>
    <row r="10" customFormat="false" ht="21.75" hidden="false" customHeight="true" outlineLevel="0" collapsed="false">
      <c r="A10" s="5" t="n">
        <v>7</v>
      </c>
      <c r="B10" s="6" t="s">
        <v>44</v>
      </c>
      <c r="C10" s="7" t="s">
        <v>17</v>
      </c>
      <c r="D10" s="5" t="s">
        <v>18</v>
      </c>
      <c r="E10" s="5" t="s">
        <v>45</v>
      </c>
      <c r="F10" s="5" t="s">
        <v>46</v>
      </c>
      <c r="G10" s="5" t="n">
        <v>800</v>
      </c>
      <c r="H10" s="5" t="n">
        <v>3000</v>
      </c>
      <c r="I10" s="5" t="n">
        <v>10000</v>
      </c>
      <c r="J10" s="5" t="s">
        <v>40</v>
      </c>
      <c r="K10" s="5" t="n">
        <v>2</v>
      </c>
      <c r="L10" s="5" t="s">
        <v>22</v>
      </c>
      <c r="M10" s="8" t="n">
        <f aca="false">G10*12*35</f>
        <v>336000</v>
      </c>
      <c r="N10" s="9" t="n">
        <v>87</v>
      </c>
    </row>
    <row r="11" customFormat="false" ht="21.75" hidden="false" customHeight="true" outlineLevel="0" collapsed="false">
      <c r="A11" s="5" t="n">
        <v>8</v>
      </c>
      <c r="B11" s="6" t="s">
        <v>47</v>
      </c>
      <c r="C11" s="7" t="s">
        <v>17</v>
      </c>
      <c r="D11" s="5" t="s">
        <v>48</v>
      </c>
      <c r="E11" s="5" t="s">
        <v>49</v>
      </c>
      <c r="F11" s="5" t="s">
        <v>20</v>
      </c>
      <c r="G11" s="5" t="n">
        <v>500</v>
      </c>
      <c r="H11" s="5" t="n">
        <v>1500</v>
      </c>
      <c r="I11" s="5" t="n">
        <v>5000</v>
      </c>
      <c r="J11" s="5" t="s">
        <v>21</v>
      </c>
      <c r="K11" s="5" t="n">
        <v>1</v>
      </c>
      <c r="L11" s="5" t="s">
        <v>22</v>
      </c>
      <c r="M11" s="8" t="n">
        <f aca="false">G11*12*60</f>
        <v>360000</v>
      </c>
      <c r="N11" s="9" t="n">
        <v>86</v>
      </c>
    </row>
    <row r="12" customFormat="false" ht="21.75" hidden="false" customHeight="true" outlineLevel="0" collapsed="false">
      <c r="A12" s="5" t="n">
        <v>9</v>
      </c>
      <c r="B12" s="6" t="s">
        <v>50</v>
      </c>
      <c r="C12" s="7" t="s">
        <v>17</v>
      </c>
      <c r="D12" s="5" t="s">
        <v>37</v>
      </c>
      <c r="E12" s="5" t="s">
        <v>51</v>
      </c>
      <c r="F12" s="5" t="s">
        <v>52</v>
      </c>
      <c r="G12" s="5" t="n">
        <v>500</v>
      </c>
      <c r="H12" s="5" t="n">
        <v>5000</v>
      </c>
      <c r="I12" s="5" t="n">
        <v>5000</v>
      </c>
      <c r="J12" s="5" t="s">
        <v>21</v>
      </c>
      <c r="K12" s="5" t="n">
        <v>2</v>
      </c>
      <c r="L12" s="5" t="s">
        <v>35</v>
      </c>
      <c r="M12" s="8" t="n">
        <f aca="false">G12*12*30</f>
        <v>180000</v>
      </c>
      <c r="N12" s="10" t="n">
        <v>80</v>
      </c>
    </row>
    <row r="13" customFormat="false" ht="21.75" hidden="false" customHeight="true" outlineLevel="0" collapsed="false">
      <c r="A13" s="5" t="n">
        <v>10</v>
      </c>
      <c r="B13" s="6" t="s">
        <v>53</v>
      </c>
      <c r="C13" s="7" t="s">
        <v>17</v>
      </c>
      <c r="D13" s="5" t="s">
        <v>18</v>
      </c>
      <c r="E13" s="5" t="s">
        <v>54</v>
      </c>
      <c r="F13" s="5" t="s">
        <v>20</v>
      </c>
      <c r="G13" s="5" t="n">
        <v>3000</v>
      </c>
      <c r="H13" s="5" t="n">
        <v>15000</v>
      </c>
      <c r="I13" s="5" t="n">
        <v>15000</v>
      </c>
      <c r="J13" s="5" t="s">
        <v>55</v>
      </c>
      <c r="K13" s="5" t="n">
        <v>3</v>
      </c>
      <c r="L13" s="5" t="s">
        <v>35</v>
      </c>
      <c r="M13" s="8" t="n">
        <f aca="false">G13*12*15</f>
        <v>540000</v>
      </c>
      <c r="N13" s="10" t="n">
        <v>78</v>
      </c>
    </row>
    <row r="14" customFormat="false" ht="21.75" hidden="false" customHeight="true" outlineLevel="0" collapsed="false">
      <c r="A14" s="11" t="n">
        <v>11</v>
      </c>
      <c r="B14" s="12" t="s">
        <v>56</v>
      </c>
      <c r="C14" s="13" t="s">
        <v>57</v>
      </c>
      <c r="D14" s="11" t="s">
        <v>58</v>
      </c>
      <c r="E14" s="11" t="s">
        <v>59</v>
      </c>
      <c r="F14" s="11" t="s">
        <v>20</v>
      </c>
      <c r="G14" s="11" t="n">
        <v>5000</v>
      </c>
      <c r="H14" s="11" t="n">
        <v>20000</v>
      </c>
      <c r="I14" s="11" t="n">
        <v>50000</v>
      </c>
      <c r="J14" s="11" t="s">
        <v>60</v>
      </c>
      <c r="K14" s="11" t="n">
        <v>4</v>
      </c>
      <c r="L14" s="11" t="s">
        <v>35</v>
      </c>
      <c r="M14" s="8" t="n">
        <f aca="false">G14*12*20</f>
        <v>1200000</v>
      </c>
      <c r="N14" s="10" t="n">
        <v>75</v>
      </c>
    </row>
    <row r="15" customFormat="false" ht="21.75" hidden="false" customHeight="true" outlineLevel="0" collapsed="false">
      <c r="A15" s="11" t="n">
        <v>12</v>
      </c>
      <c r="B15" s="12" t="s">
        <v>61</v>
      </c>
      <c r="C15" s="13" t="s">
        <v>57</v>
      </c>
      <c r="D15" s="11" t="s">
        <v>62</v>
      </c>
      <c r="E15" s="11" t="s">
        <v>63</v>
      </c>
      <c r="F15" s="11" t="s">
        <v>20</v>
      </c>
      <c r="G15" s="11" t="n">
        <v>10000</v>
      </c>
      <c r="H15" s="11" t="n">
        <v>50000</v>
      </c>
      <c r="I15" s="11" t="n">
        <v>80000</v>
      </c>
      <c r="J15" s="11" t="s">
        <v>60</v>
      </c>
      <c r="K15" s="11" t="n">
        <v>4</v>
      </c>
      <c r="L15" s="11" t="s">
        <v>64</v>
      </c>
      <c r="M15" s="8" t="n">
        <f aca="false">G15*12*10</f>
        <v>1200000</v>
      </c>
      <c r="N15" s="10" t="n">
        <v>70</v>
      </c>
    </row>
    <row r="16" customFormat="false" ht="21.75" hidden="false" customHeight="true" outlineLevel="0" collapsed="false">
      <c r="A16" s="11" t="n">
        <v>13</v>
      </c>
      <c r="B16" s="12" t="s">
        <v>65</v>
      </c>
      <c r="C16" s="13" t="s">
        <v>57</v>
      </c>
      <c r="D16" s="11" t="s">
        <v>66</v>
      </c>
      <c r="E16" s="11" t="s">
        <v>67</v>
      </c>
      <c r="F16" s="11" t="s">
        <v>68</v>
      </c>
      <c r="G16" s="11" t="n">
        <v>5000</v>
      </c>
      <c r="H16" s="11" t="n">
        <v>20000</v>
      </c>
      <c r="I16" s="11" t="n">
        <v>40000</v>
      </c>
      <c r="J16" s="11" t="s">
        <v>60</v>
      </c>
      <c r="K16" s="11" t="n">
        <v>4</v>
      </c>
      <c r="L16" s="11" t="s">
        <v>64</v>
      </c>
      <c r="M16" s="8" t="n">
        <f aca="false">G16*12*15</f>
        <v>900000</v>
      </c>
      <c r="N16" s="14" t="n">
        <v>65</v>
      </c>
    </row>
    <row r="17" customFormat="false" ht="21.75" hidden="false" customHeight="true" outlineLevel="0" collapsed="false">
      <c r="A17" s="11" t="n">
        <v>14</v>
      </c>
      <c r="B17" s="12" t="s">
        <v>69</v>
      </c>
      <c r="C17" s="13" t="s">
        <v>57</v>
      </c>
      <c r="D17" s="11" t="s">
        <v>70</v>
      </c>
      <c r="E17" s="11" t="s">
        <v>71</v>
      </c>
      <c r="F17" s="11" t="s">
        <v>72</v>
      </c>
      <c r="G17" s="11" t="n">
        <v>10000</v>
      </c>
      <c r="H17" s="11" t="n">
        <v>50000</v>
      </c>
      <c r="I17" s="11" t="n">
        <v>20000</v>
      </c>
      <c r="J17" s="11" t="s">
        <v>34</v>
      </c>
      <c r="K17" s="11" t="n">
        <v>3</v>
      </c>
      <c r="L17" s="11" t="s">
        <v>64</v>
      </c>
      <c r="M17" s="8" t="n">
        <f aca="false">G17*12*8</f>
        <v>960000</v>
      </c>
      <c r="N17" s="14" t="n">
        <v>62</v>
      </c>
    </row>
    <row r="18" customFormat="false" ht="21.75" hidden="false" customHeight="true" outlineLevel="0" collapsed="false">
      <c r="A18" s="11" t="n">
        <v>15</v>
      </c>
      <c r="B18" s="12" t="s">
        <v>73</v>
      </c>
      <c r="C18" s="13" t="s">
        <v>57</v>
      </c>
      <c r="D18" s="11" t="s">
        <v>74</v>
      </c>
      <c r="E18" s="11" t="s">
        <v>75</v>
      </c>
      <c r="F18" s="11" t="s">
        <v>76</v>
      </c>
      <c r="G18" s="11" t="n">
        <v>5000</v>
      </c>
      <c r="H18" s="11" t="n">
        <v>25000</v>
      </c>
      <c r="I18" s="11" t="n">
        <v>60000</v>
      </c>
      <c r="J18" s="11" t="s">
        <v>60</v>
      </c>
      <c r="K18" s="11" t="n">
        <v>5</v>
      </c>
      <c r="L18" s="11" t="s">
        <v>64</v>
      </c>
      <c r="M18" s="8" t="n">
        <f aca="false">G18*12*12</f>
        <v>720000</v>
      </c>
      <c r="N18" s="14" t="n">
        <v>60</v>
      </c>
    </row>
    <row r="19" customFormat="false" ht="21.75" hidden="false" customHeight="true" outlineLevel="0" collapsed="false">
      <c r="A19" s="11" t="n">
        <v>16</v>
      </c>
      <c r="B19" s="12" t="s">
        <v>77</v>
      </c>
      <c r="C19" s="13" t="s">
        <v>57</v>
      </c>
      <c r="D19" s="11" t="s">
        <v>78</v>
      </c>
      <c r="E19" s="11" t="s">
        <v>79</v>
      </c>
      <c r="F19" s="11" t="s">
        <v>33</v>
      </c>
      <c r="G19" s="11" t="n">
        <v>500</v>
      </c>
      <c r="H19" s="11" t="n">
        <v>5000</v>
      </c>
      <c r="I19" s="11" t="n">
        <v>100000</v>
      </c>
      <c r="J19" s="11" t="s">
        <v>80</v>
      </c>
      <c r="K19" s="11" t="n">
        <v>4</v>
      </c>
      <c r="L19" s="11" t="s">
        <v>64</v>
      </c>
      <c r="M19" s="8" t="n">
        <f aca="false">G19*12*50</f>
        <v>300000</v>
      </c>
      <c r="N19" s="14" t="n">
        <v>58</v>
      </c>
    </row>
    <row r="20" customFormat="false" ht="21.75" hidden="false" customHeight="true" outlineLevel="0" collapsed="false">
      <c r="A20" s="11" t="n">
        <v>17</v>
      </c>
      <c r="B20" s="12" t="s">
        <v>81</v>
      </c>
      <c r="C20" s="13" t="s">
        <v>57</v>
      </c>
      <c r="D20" s="11" t="s">
        <v>31</v>
      </c>
      <c r="E20" s="11" t="s">
        <v>82</v>
      </c>
      <c r="F20" s="11" t="s">
        <v>33</v>
      </c>
      <c r="G20" s="11" t="n">
        <v>300</v>
      </c>
      <c r="H20" s="11" t="n">
        <v>2000</v>
      </c>
      <c r="I20" s="11" t="n">
        <v>150000</v>
      </c>
      <c r="J20" s="11" t="s">
        <v>83</v>
      </c>
      <c r="K20" s="11" t="n">
        <v>5</v>
      </c>
      <c r="L20" s="11" t="s">
        <v>35</v>
      </c>
      <c r="M20" s="8" t="n">
        <f aca="false">G20*12*100</f>
        <v>360000</v>
      </c>
      <c r="N20" s="14" t="n">
        <v>63</v>
      </c>
    </row>
    <row r="21" customFormat="false" ht="21.75" hidden="false" customHeight="true" outlineLevel="0" collapsed="false">
      <c r="A21" s="11" t="n">
        <v>18</v>
      </c>
      <c r="B21" s="12" t="s">
        <v>84</v>
      </c>
      <c r="C21" s="13" t="s">
        <v>57</v>
      </c>
      <c r="D21" s="11" t="s">
        <v>85</v>
      </c>
      <c r="E21" s="11" t="s">
        <v>86</v>
      </c>
      <c r="F21" s="11" t="s">
        <v>33</v>
      </c>
      <c r="G21" s="11" t="n">
        <v>200</v>
      </c>
      <c r="H21" s="11" t="n">
        <v>1000</v>
      </c>
      <c r="I21" s="11" t="n">
        <v>30000</v>
      </c>
      <c r="J21" s="11" t="s">
        <v>60</v>
      </c>
      <c r="K21" s="11" t="n">
        <v>3</v>
      </c>
      <c r="L21" s="11" t="s">
        <v>35</v>
      </c>
      <c r="M21" s="8" t="n">
        <f aca="false">G21*12*200</f>
        <v>480000</v>
      </c>
      <c r="N21" s="14" t="n">
        <v>60</v>
      </c>
    </row>
    <row r="22" customFormat="false" ht="21.75" hidden="false" customHeight="true" outlineLevel="0" collapsed="false">
      <c r="A22" s="15" t="n">
        <v>19</v>
      </c>
      <c r="B22" s="16" t="s">
        <v>87</v>
      </c>
      <c r="C22" s="17" t="s">
        <v>88</v>
      </c>
      <c r="D22" s="15" t="s">
        <v>89</v>
      </c>
      <c r="E22" s="15" t="s">
        <v>90</v>
      </c>
      <c r="F22" s="15" t="s">
        <v>91</v>
      </c>
      <c r="G22" s="15" t="n">
        <v>0</v>
      </c>
      <c r="H22" s="15" t="n">
        <v>5000</v>
      </c>
      <c r="I22" s="15" t="n">
        <v>500000</v>
      </c>
      <c r="J22" s="15" t="s">
        <v>92</v>
      </c>
      <c r="K22" s="15" t="n">
        <v>5</v>
      </c>
      <c r="L22" s="15" t="s">
        <v>93</v>
      </c>
      <c r="M22" s="8" t="n">
        <f aca="false">H22*12*500</f>
        <v>30000000</v>
      </c>
      <c r="N22" s="14" t="n">
        <v>40</v>
      </c>
    </row>
    <row r="23" customFormat="false" ht="21.75" hidden="false" customHeight="true" outlineLevel="0" collapsed="false">
      <c r="A23" s="15" t="n">
        <v>20</v>
      </c>
      <c r="B23" s="16" t="s">
        <v>94</v>
      </c>
      <c r="C23" s="17" t="s">
        <v>88</v>
      </c>
      <c r="D23" s="15" t="s">
        <v>89</v>
      </c>
      <c r="E23" s="15" t="s">
        <v>95</v>
      </c>
      <c r="F23" s="15" t="s">
        <v>96</v>
      </c>
      <c r="G23" s="15" t="n">
        <v>0</v>
      </c>
      <c r="H23" s="15" t="n">
        <v>10000</v>
      </c>
      <c r="I23" s="15" t="n">
        <v>800000</v>
      </c>
      <c r="J23" s="15" t="s">
        <v>97</v>
      </c>
      <c r="K23" s="15" t="n">
        <v>5</v>
      </c>
      <c r="L23" s="15" t="s">
        <v>93</v>
      </c>
      <c r="M23" s="8" t="n">
        <f aca="false">H23*12*200</f>
        <v>24000000</v>
      </c>
      <c r="N23" s="14" t="n">
        <v>38</v>
      </c>
    </row>
    <row r="24" customFormat="false" ht="21.75" hidden="false" customHeight="true" outlineLevel="0" collapsed="false">
      <c r="A24" s="15" t="n">
        <v>21</v>
      </c>
      <c r="B24" s="16" t="s">
        <v>98</v>
      </c>
      <c r="C24" s="17" t="s">
        <v>88</v>
      </c>
      <c r="D24" s="15" t="s">
        <v>66</v>
      </c>
      <c r="E24" s="15" t="s">
        <v>99</v>
      </c>
      <c r="F24" s="15" t="s">
        <v>100</v>
      </c>
      <c r="G24" s="15" t="n">
        <v>0</v>
      </c>
      <c r="H24" s="15" t="n">
        <v>5000</v>
      </c>
      <c r="I24" s="15" t="n">
        <v>1000000</v>
      </c>
      <c r="J24" s="15" t="s">
        <v>101</v>
      </c>
      <c r="K24" s="15" t="n">
        <v>5</v>
      </c>
      <c r="L24" s="15" t="s">
        <v>102</v>
      </c>
      <c r="M24" s="8" t="n">
        <f aca="false">G24*12*1000</f>
        <v>0</v>
      </c>
      <c r="N24" s="14" t="n">
        <v>30</v>
      </c>
    </row>
    <row r="25" customFormat="false" ht="21.75" hidden="false" customHeight="true" outlineLevel="0" collapsed="false">
      <c r="A25" s="15" t="n">
        <v>22</v>
      </c>
      <c r="B25" s="16" t="s">
        <v>103</v>
      </c>
      <c r="C25" s="17" t="s">
        <v>88</v>
      </c>
      <c r="D25" s="15" t="s">
        <v>66</v>
      </c>
      <c r="E25" s="15" t="s">
        <v>104</v>
      </c>
      <c r="F25" s="15" t="s">
        <v>105</v>
      </c>
      <c r="G25" s="15" t="n">
        <v>500</v>
      </c>
      <c r="H25" s="15" t="n">
        <v>10000</v>
      </c>
      <c r="I25" s="15" t="n">
        <v>2000000</v>
      </c>
      <c r="J25" s="15" t="s">
        <v>101</v>
      </c>
      <c r="K25" s="15" t="n">
        <v>5</v>
      </c>
      <c r="L25" s="15" t="s">
        <v>93</v>
      </c>
      <c r="M25" s="8" t="n">
        <f aca="false">G25*12*500</f>
        <v>3000000</v>
      </c>
      <c r="N25" s="14" t="n">
        <v>32</v>
      </c>
    </row>
    <row r="26" customFormat="false" ht="21.75" hidden="false" customHeight="true" outlineLevel="0" collapsed="false">
      <c r="A26" s="15" t="n">
        <v>23</v>
      </c>
      <c r="B26" s="16" t="s">
        <v>106</v>
      </c>
      <c r="C26" s="17" t="s">
        <v>88</v>
      </c>
      <c r="D26" s="15" t="s">
        <v>107</v>
      </c>
      <c r="E26" s="15" t="s">
        <v>108</v>
      </c>
      <c r="F26" s="15" t="s">
        <v>109</v>
      </c>
      <c r="G26" s="15" t="n">
        <v>0</v>
      </c>
      <c r="H26" s="15" t="n">
        <v>50000</v>
      </c>
      <c r="I26" s="15" t="n">
        <v>500000</v>
      </c>
      <c r="J26" s="15" t="s">
        <v>92</v>
      </c>
      <c r="K26" s="15" t="n">
        <v>4</v>
      </c>
      <c r="L26" s="15" t="s">
        <v>64</v>
      </c>
      <c r="M26" s="8" t="n">
        <f aca="false">H26*12*10</f>
        <v>6000000</v>
      </c>
      <c r="N26" s="14" t="n">
        <v>45</v>
      </c>
    </row>
    <row r="27" customFormat="false" ht="21.75" hidden="false" customHeight="true" outlineLevel="0" collapsed="false">
      <c r="A27" s="15" t="n">
        <v>24</v>
      </c>
      <c r="B27" s="16" t="s">
        <v>110</v>
      </c>
      <c r="C27" s="17" t="s">
        <v>88</v>
      </c>
      <c r="D27" s="15" t="s">
        <v>111</v>
      </c>
      <c r="E27" s="15" t="s">
        <v>112</v>
      </c>
      <c r="F27" s="15" t="s">
        <v>113</v>
      </c>
      <c r="G27" s="15" t="n">
        <v>0</v>
      </c>
      <c r="H27" s="15" t="n">
        <v>50000</v>
      </c>
      <c r="I27" s="15" t="n">
        <v>200000</v>
      </c>
      <c r="J27" s="15" t="s">
        <v>114</v>
      </c>
      <c r="K27" s="15" t="n">
        <v>3</v>
      </c>
      <c r="L27" s="15" t="s">
        <v>93</v>
      </c>
      <c r="M27" s="8" t="n">
        <f aca="false">H27*12*100</f>
        <v>60000000</v>
      </c>
      <c r="N27" s="14" t="n">
        <v>42</v>
      </c>
    </row>
    <row r="28" customFormat="false" ht="21.75" hidden="false" customHeight="true" outlineLevel="0" collapsed="false">
      <c r="A28" s="15" t="n">
        <v>25</v>
      </c>
      <c r="B28" s="16" t="s">
        <v>115</v>
      </c>
      <c r="C28" s="17" t="s">
        <v>88</v>
      </c>
      <c r="D28" s="15" t="s">
        <v>116</v>
      </c>
      <c r="E28" s="15" t="s">
        <v>117</v>
      </c>
      <c r="F28" s="15" t="s">
        <v>118</v>
      </c>
      <c r="G28" s="15" t="n">
        <v>0</v>
      </c>
      <c r="H28" s="15" t="n">
        <v>5000</v>
      </c>
      <c r="I28" s="15" t="n">
        <v>3000000</v>
      </c>
      <c r="J28" s="15" t="s">
        <v>97</v>
      </c>
      <c r="K28" s="15" t="n">
        <v>4</v>
      </c>
      <c r="L28" s="15" t="s">
        <v>64</v>
      </c>
      <c r="M28" s="8" t="n">
        <f aca="false">H28*12*200</f>
        <v>12000000</v>
      </c>
      <c r="N28" s="14" t="n">
        <v>35</v>
      </c>
    </row>
    <row r="29" customFormat="false" ht="21.75" hidden="false" customHeight="true" outlineLevel="0" collapsed="false">
      <c r="A29" s="15" t="n">
        <v>26</v>
      </c>
      <c r="B29" s="16" t="s">
        <v>119</v>
      </c>
      <c r="C29" s="17" t="s">
        <v>88</v>
      </c>
      <c r="D29" s="15" t="s">
        <v>120</v>
      </c>
      <c r="E29" s="15" t="s">
        <v>104</v>
      </c>
      <c r="F29" s="15" t="s">
        <v>121</v>
      </c>
      <c r="G29" s="15" t="n">
        <v>500</v>
      </c>
      <c r="H29" s="15" t="n">
        <v>5000</v>
      </c>
      <c r="I29" s="15" t="n">
        <v>50000</v>
      </c>
      <c r="J29" s="15" t="s">
        <v>122</v>
      </c>
      <c r="K29" s="15" t="n">
        <v>3</v>
      </c>
      <c r="L29" s="15" t="s">
        <v>35</v>
      </c>
      <c r="M29" s="8" t="n">
        <f aca="false">G29*12*500</f>
        <v>3000000</v>
      </c>
      <c r="N29" s="14" t="n">
        <v>55</v>
      </c>
    </row>
    <row r="30" customFormat="false" ht="21.75" hidden="false" customHeight="true" outlineLevel="0" collapsed="false">
      <c r="A30" s="15" t="n">
        <v>27</v>
      </c>
      <c r="B30" s="16" t="s">
        <v>123</v>
      </c>
      <c r="C30" s="17" t="s">
        <v>88</v>
      </c>
      <c r="D30" s="15" t="s">
        <v>62</v>
      </c>
      <c r="E30" s="15" t="s">
        <v>124</v>
      </c>
      <c r="F30" s="15" t="s">
        <v>125</v>
      </c>
      <c r="G30" s="15" t="n">
        <v>5000</v>
      </c>
      <c r="H30" s="15" t="n">
        <v>50000</v>
      </c>
      <c r="I30" s="15" t="n">
        <v>1000000</v>
      </c>
      <c r="J30" s="15" t="s">
        <v>97</v>
      </c>
      <c r="K30" s="15" t="n">
        <v>5</v>
      </c>
      <c r="L30" s="15" t="s">
        <v>93</v>
      </c>
      <c r="M30" s="8" t="n">
        <f aca="false">G30*12*100</f>
        <v>6000000</v>
      </c>
      <c r="N30" s="14" t="n">
        <v>33</v>
      </c>
    </row>
    <row r="31" customFormat="false" ht="21.75" hidden="false" customHeight="true" outlineLevel="0" collapsed="false">
      <c r="A31" s="15" t="n">
        <v>28</v>
      </c>
      <c r="B31" s="16" t="s">
        <v>126</v>
      </c>
      <c r="C31" s="17" t="s">
        <v>88</v>
      </c>
      <c r="D31" s="15" t="s">
        <v>127</v>
      </c>
      <c r="E31" s="15" t="s">
        <v>128</v>
      </c>
      <c r="F31" s="15" t="s">
        <v>33</v>
      </c>
      <c r="G31" s="15" t="n">
        <v>100</v>
      </c>
      <c r="H31" s="15" t="n">
        <v>1000</v>
      </c>
      <c r="I31" s="15" t="n">
        <v>200000</v>
      </c>
      <c r="J31" s="15" t="s">
        <v>92</v>
      </c>
      <c r="K31" s="15" t="n">
        <v>4</v>
      </c>
      <c r="L31" s="15" t="s">
        <v>93</v>
      </c>
      <c r="M31" s="8" t="n">
        <f aca="false">G31*12*1000</f>
        <v>1200000</v>
      </c>
      <c r="N31" s="14" t="n">
        <v>40</v>
      </c>
    </row>
    <row r="32" customFormat="false" ht="21.75" hidden="false" customHeight="true" outlineLevel="0" collapsed="false">
      <c r="A32" s="15" t="n">
        <v>29</v>
      </c>
      <c r="B32" s="16" t="s">
        <v>129</v>
      </c>
      <c r="C32" s="17" t="s">
        <v>88</v>
      </c>
      <c r="D32" s="15" t="s">
        <v>66</v>
      </c>
      <c r="E32" s="15" t="s">
        <v>104</v>
      </c>
      <c r="F32" s="15" t="s">
        <v>130</v>
      </c>
      <c r="G32" s="15" t="n">
        <v>200</v>
      </c>
      <c r="H32" s="15" t="n">
        <v>2000</v>
      </c>
      <c r="I32" s="15" t="n">
        <v>100000</v>
      </c>
      <c r="J32" s="15" t="s">
        <v>114</v>
      </c>
      <c r="K32" s="15" t="n">
        <v>3</v>
      </c>
      <c r="L32" s="15" t="s">
        <v>64</v>
      </c>
      <c r="M32" s="8" t="n">
        <f aca="false">G32*12*500</f>
        <v>1200000</v>
      </c>
      <c r="N32" s="14" t="n">
        <v>45</v>
      </c>
    </row>
    <row r="33" customFormat="false" ht="21.75" hidden="false" customHeight="true" outlineLevel="0" collapsed="false">
      <c r="A33" s="15" t="n">
        <v>30</v>
      </c>
      <c r="B33" s="16" t="s">
        <v>131</v>
      </c>
      <c r="C33" s="17" t="s">
        <v>88</v>
      </c>
      <c r="D33" s="15" t="s">
        <v>132</v>
      </c>
      <c r="E33" s="15" t="s">
        <v>133</v>
      </c>
      <c r="F33" s="15" t="s">
        <v>134</v>
      </c>
      <c r="G33" s="15" t="n">
        <v>100</v>
      </c>
      <c r="H33" s="15" t="n">
        <v>500</v>
      </c>
      <c r="I33" s="15" t="n">
        <v>80000</v>
      </c>
      <c r="J33" s="15" t="s">
        <v>122</v>
      </c>
      <c r="K33" s="15" t="n">
        <v>2</v>
      </c>
      <c r="L33" s="15" t="s">
        <v>64</v>
      </c>
      <c r="M33" s="8" t="n">
        <f aca="false">G33*12*2000</f>
        <v>2400000</v>
      </c>
      <c r="N33" s="14" t="n">
        <v>48</v>
      </c>
    </row>
    <row r="34" customFormat="false" ht="15" hidden="false" customHeight="true" outlineLevel="0" collapsed="false">
      <c r="A34" s="18" t="n">
        <v>31</v>
      </c>
      <c r="B34" s="18"/>
      <c r="C34" s="18"/>
      <c r="D34" s="18"/>
      <c r="E34" s="18"/>
      <c r="F34" s="18"/>
      <c r="G34" s="18" t="n">
        <v>150</v>
      </c>
      <c r="H34" s="18" t="n">
        <v>500</v>
      </c>
      <c r="I34" s="18" t="n">
        <v>15000</v>
      </c>
      <c r="J34" s="18" t="s">
        <v>34</v>
      </c>
      <c r="K34" s="18" t="n">
        <v>3</v>
      </c>
      <c r="L34" s="18" t="s">
        <v>35</v>
      </c>
      <c r="M34" s="19" t="n">
        <f aca="false">G34*12*40</f>
        <v>72000</v>
      </c>
      <c r="N34" s="19" t="n">
        <v>78</v>
      </c>
    </row>
    <row r="35" customFormat="false" ht="15" hidden="false" customHeight="true" outlineLevel="0" collapsed="false">
      <c r="A35" s="18" t="n">
        <v>32</v>
      </c>
      <c r="B35" s="18" t="s">
        <v>135</v>
      </c>
      <c r="C35" s="18" t="s">
        <v>136</v>
      </c>
      <c r="D35" s="18" t="s">
        <v>89</v>
      </c>
      <c r="E35" s="18" t="s">
        <v>104</v>
      </c>
      <c r="F35" s="18" t="s">
        <v>137</v>
      </c>
      <c r="G35" s="18" t="n">
        <v>500</v>
      </c>
      <c r="H35" s="18" t="n">
        <v>2500</v>
      </c>
      <c r="I35" s="18" t="n">
        <v>25000</v>
      </c>
      <c r="J35" s="18" t="s">
        <v>138</v>
      </c>
      <c r="K35" s="18" t="n">
        <v>4</v>
      </c>
      <c r="L35" s="18" t="s">
        <v>64</v>
      </c>
      <c r="M35" s="19" t="n">
        <f aca="false">G35*12*20</f>
        <v>120000</v>
      </c>
      <c r="N35" s="19" t="n">
        <v>65</v>
      </c>
    </row>
    <row r="36" customFormat="false" ht="15" hidden="false" customHeight="true" outlineLevel="0" collapsed="false">
      <c r="A36" s="18" t="n">
        <v>33</v>
      </c>
      <c r="B36" s="18" t="s">
        <v>139</v>
      </c>
      <c r="C36" s="18" t="s">
        <v>136</v>
      </c>
      <c r="D36" s="18" t="s">
        <v>31</v>
      </c>
      <c r="E36" s="18" t="s">
        <v>140</v>
      </c>
      <c r="F36" s="18" t="s">
        <v>33</v>
      </c>
      <c r="G36" s="18" t="n">
        <v>200</v>
      </c>
      <c r="H36" s="18" t="n">
        <v>800</v>
      </c>
      <c r="I36" s="18" t="n">
        <v>20000</v>
      </c>
      <c r="J36" s="18" t="s">
        <v>141</v>
      </c>
      <c r="K36" s="18" t="n">
        <v>3</v>
      </c>
      <c r="L36" s="18" t="s">
        <v>35</v>
      </c>
      <c r="M36" s="19" t="n">
        <f aca="false">G36*12*35</f>
        <v>84000</v>
      </c>
      <c r="N36" s="19" t="n">
        <v>72</v>
      </c>
    </row>
    <row r="37" customFormat="false" ht="15" hidden="false" customHeight="true" outlineLevel="0" collapsed="false">
      <c r="A37" s="18" t="n">
        <v>34</v>
      </c>
      <c r="B37" s="18" t="s">
        <v>142</v>
      </c>
      <c r="C37" s="18" t="s">
        <v>136</v>
      </c>
      <c r="D37" s="18" t="s">
        <v>143</v>
      </c>
      <c r="E37" s="18" t="s">
        <v>144</v>
      </c>
      <c r="F37" s="18" t="s">
        <v>145</v>
      </c>
      <c r="G37" s="18" t="n">
        <v>500</v>
      </c>
      <c r="H37" s="18" t="n">
        <v>3000</v>
      </c>
      <c r="I37" s="18" t="n">
        <v>10000</v>
      </c>
      <c r="J37" s="18" t="s">
        <v>146</v>
      </c>
      <c r="K37" s="18" t="n">
        <v>2</v>
      </c>
      <c r="L37" s="18" t="s">
        <v>22</v>
      </c>
      <c r="M37" s="19" t="n">
        <f aca="false">G37*12*25</f>
        <v>150000</v>
      </c>
      <c r="N37" s="19" t="n">
        <v>82</v>
      </c>
    </row>
    <row r="38" customFormat="false" ht="15" hidden="false" customHeight="true" outlineLevel="0" collapsed="false">
      <c r="A38" s="18" t="n">
        <v>35</v>
      </c>
      <c r="B38" s="18" t="s">
        <v>147</v>
      </c>
      <c r="C38" s="18" t="s">
        <v>136</v>
      </c>
      <c r="D38" s="18" t="s">
        <v>148</v>
      </c>
      <c r="E38" s="18" t="s">
        <v>149</v>
      </c>
      <c r="F38" s="18" t="s">
        <v>33</v>
      </c>
      <c r="G38" s="18" t="n">
        <v>100</v>
      </c>
      <c r="H38" s="18" t="n">
        <v>500</v>
      </c>
      <c r="I38" s="18" t="n">
        <v>15000</v>
      </c>
      <c r="J38" s="18" t="s">
        <v>141</v>
      </c>
      <c r="K38" s="18" t="n">
        <v>2</v>
      </c>
      <c r="L38" s="18" t="s">
        <v>64</v>
      </c>
      <c r="M38" s="19" t="n">
        <f aca="false">G38*12*60</f>
        <v>72000</v>
      </c>
      <c r="N38" s="19" t="n">
        <v>60</v>
      </c>
    </row>
    <row r="39" customFormat="false" ht="15" hidden="false" customHeight="true" outlineLevel="0" collapsed="false">
      <c r="A39" s="18" t="n">
        <v>36</v>
      </c>
      <c r="B39" s="18" t="s">
        <v>150</v>
      </c>
      <c r="C39" s="18" t="s">
        <v>136</v>
      </c>
      <c r="D39" s="18" t="s">
        <v>31</v>
      </c>
      <c r="E39" s="18" t="s">
        <v>151</v>
      </c>
      <c r="F39" s="18" t="s">
        <v>46</v>
      </c>
      <c r="G39" s="18" t="n">
        <v>500</v>
      </c>
      <c r="H39" s="18" t="n">
        <v>2000</v>
      </c>
      <c r="I39" s="18" t="n">
        <v>30000</v>
      </c>
      <c r="J39" s="18" t="s">
        <v>152</v>
      </c>
      <c r="K39" s="18" t="n">
        <v>4</v>
      </c>
      <c r="L39" s="18" t="s">
        <v>35</v>
      </c>
      <c r="M39" s="19" t="n">
        <f aca="false">G39*12*30</f>
        <v>180000</v>
      </c>
      <c r="N39" s="19" t="n">
        <v>70</v>
      </c>
    </row>
    <row r="40" customFormat="false" ht="15" hidden="false" customHeight="true" outlineLevel="0" collapsed="false">
      <c r="A40" s="18" t="n">
        <v>37</v>
      </c>
      <c r="B40" s="18" t="s">
        <v>153</v>
      </c>
      <c r="C40" s="18" t="s">
        <v>136</v>
      </c>
      <c r="D40" s="18" t="s">
        <v>31</v>
      </c>
      <c r="E40" s="18" t="s">
        <v>144</v>
      </c>
      <c r="F40" s="18" t="s">
        <v>33</v>
      </c>
      <c r="G40" s="18" t="n">
        <v>200</v>
      </c>
      <c r="H40" s="18" t="n">
        <v>1000</v>
      </c>
      <c r="I40" s="18" t="n">
        <v>12000</v>
      </c>
      <c r="J40" s="18" t="s">
        <v>141</v>
      </c>
      <c r="K40" s="18" t="n">
        <v>2</v>
      </c>
      <c r="L40" s="18" t="s">
        <v>35</v>
      </c>
      <c r="M40" s="19" t="n">
        <f aca="false">G40*12*45</f>
        <v>108000</v>
      </c>
      <c r="N40" s="19" t="n">
        <v>75</v>
      </c>
    </row>
    <row r="41" customFormat="false" ht="15" hidden="false" customHeight="true" outlineLevel="0" collapsed="false">
      <c r="A41" s="18" t="n">
        <v>38</v>
      </c>
      <c r="B41" s="18" t="s">
        <v>154</v>
      </c>
      <c r="C41" s="18" t="s">
        <v>136</v>
      </c>
      <c r="D41" s="18" t="s">
        <v>120</v>
      </c>
      <c r="E41" s="18" t="s">
        <v>155</v>
      </c>
      <c r="F41" s="18" t="s">
        <v>156</v>
      </c>
      <c r="G41" s="18" t="n">
        <v>500</v>
      </c>
      <c r="H41" s="18" t="n">
        <v>2000</v>
      </c>
      <c r="I41" s="18" t="n">
        <v>30000</v>
      </c>
      <c r="J41" s="18" t="s">
        <v>152</v>
      </c>
      <c r="K41" s="18" t="n">
        <v>3</v>
      </c>
      <c r="L41" s="18" t="s">
        <v>64</v>
      </c>
      <c r="M41" s="19" t="n">
        <f aca="false">G41*12*20</f>
        <v>120000</v>
      </c>
      <c r="N41" s="19" t="n">
        <v>62</v>
      </c>
    </row>
    <row r="42" customFormat="false" ht="15" hidden="false" customHeight="true" outlineLevel="0" collapsed="false">
      <c r="A42" s="18" t="n">
        <v>39</v>
      </c>
      <c r="B42" s="18" t="s">
        <v>157</v>
      </c>
      <c r="C42" s="18" t="s">
        <v>136</v>
      </c>
      <c r="D42" s="18" t="s">
        <v>31</v>
      </c>
      <c r="E42" s="18" t="s">
        <v>158</v>
      </c>
      <c r="F42" s="18" t="s">
        <v>33</v>
      </c>
      <c r="G42" s="18" t="n">
        <v>300</v>
      </c>
      <c r="H42" s="18" t="n">
        <v>1500</v>
      </c>
      <c r="I42" s="18" t="n">
        <v>25000</v>
      </c>
      <c r="J42" s="18" t="s">
        <v>159</v>
      </c>
      <c r="K42" s="18" t="n">
        <v>3</v>
      </c>
      <c r="L42" s="18" t="s">
        <v>35</v>
      </c>
      <c r="M42" s="19" t="n">
        <f aca="false">G42*12*30</f>
        <v>108000</v>
      </c>
      <c r="N42" s="19" t="n">
        <v>72</v>
      </c>
    </row>
    <row r="43" customFormat="false" ht="15" hidden="false" customHeight="true" outlineLevel="0" collapsed="false">
      <c r="A43" s="18" t="n">
        <v>40</v>
      </c>
      <c r="B43" s="18" t="s">
        <v>160</v>
      </c>
      <c r="C43" s="18" t="s">
        <v>136</v>
      </c>
      <c r="D43" s="18" t="s">
        <v>161</v>
      </c>
      <c r="E43" s="18" t="s">
        <v>162</v>
      </c>
      <c r="F43" s="18" t="s">
        <v>163</v>
      </c>
      <c r="G43" s="18" t="n">
        <v>100</v>
      </c>
      <c r="H43" s="18" t="n">
        <v>500</v>
      </c>
      <c r="I43" s="18" t="n">
        <v>10000</v>
      </c>
      <c r="J43" s="18" t="s">
        <v>164</v>
      </c>
      <c r="K43" s="18" t="n">
        <v>2</v>
      </c>
      <c r="L43" s="18" t="s">
        <v>35</v>
      </c>
      <c r="M43" s="19" t="n">
        <f aca="false">G43*12*80</f>
        <v>96000</v>
      </c>
      <c r="N43" s="19" t="n">
        <v>68</v>
      </c>
    </row>
    <row r="44" customFormat="false" ht="15" hidden="false" customHeight="true" outlineLevel="0" collapsed="false">
      <c r="A44" s="20" t="n">
        <v>41</v>
      </c>
      <c r="B44" s="20" t="s">
        <v>165</v>
      </c>
      <c r="C44" s="20" t="s">
        <v>166</v>
      </c>
      <c r="D44" s="20" t="s">
        <v>31</v>
      </c>
      <c r="E44" s="20" t="s">
        <v>167</v>
      </c>
      <c r="F44" s="20" t="s">
        <v>33</v>
      </c>
      <c r="G44" s="20" t="n">
        <v>300</v>
      </c>
      <c r="H44" s="20" t="n">
        <v>1500</v>
      </c>
      <c r="I44" s="20" t="n">
        <v>20000</v>
      </c>
      <c r="J44" s="20" t="s">
        <v>141</v>
      </c>
      <c r="K44" s="20" t="n">
        <v>2</v>
      </c>
      <c r="L44" s="20" t="s">
        <v>22</v>
      </c>
      <c r="M44" s="21" t="n">
        <f aca="false">G44*12*50</f>
        <v>180000</v>
      </c>
      <c r="N44" s="21" t="n">
        <v>80</v>
      </c>
    </row>
    <row r="45" customFormat="false" ht="15" hidden="false" customHeight="true" outlineLevel="0" collapsed="false">
      <c r="A45" s="20" t="n">
        <v>42</v>
      </c>
      <c r="B45" s="20" t="s">
        <v>168</v>
      </c>
      <c r="C45" s="20" t="s">
        <v>166</v>
      </c>
      <c r="D45" s="20" t="s">
        <v>169</v>
      </c>
      <c r="E45" s="20" t="s">
        <v>170</v>
      </c>
      <c r="F45" s="20" t="s">
        <v>171</v>
      </c>
      <c r="G45" s="20" t="n">
        <v>200</v>
      </c>
      <c r="H45" s="20" t="n">
        <v>1000</v>
      </c>
      <c r="I45" s="20" t="n">
        <v>15000</v>
      </c>
      <c r="J45" s="20" t="s">
        <v>164</v>
      </c>
      <c r="K45" s="20" t="n">
        <v>2</v>
      </c>
      <c r="L45" s="20" t="s">
        <v>35</v>
      </c>
      <c r="M45" s="21" t="n">
        <f aca="false">G45*12*40</f>
        <v>96000</v>
      </c>
      <c r="N45" s="21" t="n">
        <v>75</v>
      </c>
    </row>
    <row r="46" customFormat="false" ht="15" hidden="false" customHeight="true" outlineLevel="0" collapsed="false">
      <c r="A46" s="20" t="n">
        <v>43</v>
      </c>
      <c r="B46" s="20" t="s">
        <v>172</v>
      </c>
      <c r="C46" s="20" t="s">
        <v>166</v>
      </c>
      <c r="D46" s="20" t="s">
        <v>78</v>
      </c>
      <c r="E46" s="20" t="s">
        <v>173</v>
      </c>
      <c r="F46" s="20" t="s">
        <v>46</v>
      </c>
      <c r="G46" s="20" t="n">
        <v>400</v>
      </c>
      <c r="H46" s="20" t="n">
        <v>2000</v>
      </c>
      <c r="I46" s="20" t="n">
        <v>20000</v>
      </c>
      <c r="J46" s="20" t="s">
        <v>141</v>
      </c>
      <c r="K46" s="20" t="n">
        <v>3</v>
      </c>
      <c r="L46" s="20" t="s">
        <v>35</v>
      </c>
      <c r="M46" s="21" t="n">
        <f aca="false">G46*12*35</f>
        <v>168000</v>
      </c>
      <c r="N46" s="21" t="n">
        <v>77</v>
      </c>
    </row>
    <row r="47" customFormat="false" ht="15" hidden="false" customHeight="true" outlineLevel="0" collapsed="false">
      <c r="A47" s="20" t="n">
        <v>44</v>
      </c>
      <c r="B47" s="20" t="s">
        <v>174</v>
      </c>
      <c r="C47" s="20" t="s">
        <v>166</v>
      </c>
      <c r="D47" s="20" t="s">
        <v>175</v>
      </c>
      <c r="E47" s="20" t="s">
        <v>176</v>
      </c>
      <c r="F47" s="20" t="s">
        <v>33</v>
      </c>
      <c r="G47" s="20" t="n">
        <v>500</v>
      </c>
      <c r="H47" s="20" t="n">
        <v>2500</v>
      </c>
      <c r="I47" s="20" t="n">
        <v>25000</v>
      </c>
      <c r="J47" s="20" t="s">
        <v>159</v>
      </c>
      <c r="K47" s="20" t="n">
        <v>3</v>
      </c>
      <c r="L47" s="20" t="s">
        <v>35</v>
      </c>
      <c r="M47" s="21" t="n">
        <f aca="false">G47*12*25</f>
        <v>150000</v>
      </c>
      <c r="N47" s="21" t="n">
        <v>72</v>
      </c>
    </row>
    <row r="48" customFormat="false" ht="15" hidden="false" customHeight="true" outlineLevel="0" collapsed="false">
      <c r="A48" s="20" t="n">
        <v>45</v>
      </c>
      <c r="B48" s="20" t="s">
        <v>177</v>
      </c>
      <c r="C48" s="20" t="s">
        <v>166</v>
      </c>
      <c r="D48" s="20" t="s">
        <v>178</v>
      </c>
      <c r="E48" s="20" t="s">
        <v>179</v>
      </c>
      <c r="F48" s="20" t="s">
        <v>33</v>
      </c>
      <c r="G48" s="20" t="n">
        <v>150</v>
      </c>
      <c r="H48" s="20" t="n">
        <v>800</v>
      </c>
      <c r="I48" s="20" t="n">
        <v>15000</v>
      </c>
      <c r="J48" s="20" t="s">
        <v>164</v>
      </c>
      <c r="K48" s="20" t="n">
        <v>2</v>
      </c>
      <c r="L48" s="20" t="s">
        <v>22</v>
      </c>
      <c r="M48" s="21" t="n">
        <f aca="false">G48*12*80</f>
        <v>144000</v>
      </c>
      <c r="N48" s="21" t="n">
        <v>83</v>
      </c>
    </row>
    <row r="49" customFormat="false" ht="15" hidden="false" customHeight="true" outlineLevel="0" collapsed="false">
      <c r="A49" s="20" t="n">
        <v>46</v>
      </c>
      <c r="B49" s="20" t="s">
        <v>180</v>
      </c>
      <c r="C49" s="20" t="s">
        <v>166</v>
      </c>
      <c r="D49" s="20" t="s">
        <v>143</v>
      </c>
      <c r="E49" s="20" t="s">
        <v>181</v>
      </c>
      <c r="F49" s="20" t="s">
        <v>182</v>
      </c>
      <c r="G49" s="20" t="n">
        <v>500</v>
      </c>
      <c r="H49" s="20" t="n">
        <v>3000</v>
      </c>
      <c r="I49" s="20" t="n">
        <v>10000</v>
      </c>
      <c r="J49" s="20" t="s">
        <v>146</v>
      </c>
      <c r="K49" s="20" t="n">
        <v>2</v>
      </c>
      <c r="L49" s="20" t="s">
        <v>35</v>
      </c>
      <c r="M49" s="21" t="n">
        <f aca="false">G49*12*20</f>
        <v>120000</v>
      </c>
      <c r="N49" s="21" t="n">
        <v>78</v>
      </c>
    </row>
    <row r="50" customFormat="false" ht="15" hidden="false" customHeight="true" outlineLevel="0" collapsed="false">
      <c r="A50" s="20" t="n">
        <v>47</v>
      </c>
      <c r="B50" s="20" t="s">
        <v>183</v>
      </c>
      <c r="C50" s="20" t="s">
        <v>166</v>
      </c>
      <c r="D50" s="20" t="s">
        <v>184</v>
      </c>
      <c r="E50" s="20" t="s">
        <v>185</v>
      </c>
      <c r="F50" s="20" t="s">
        <v>186</v>
      </c>
      <c r="G50" s="20" t="n">
        <v>300</v>
      </c>
      <c r="H50" s="20" t="n">
        <v>1500</v>
      </c>
      <c r="I50" s="20" t="n">
        <v>12000</v>
      </c>
      <c r="J50" s="20" t="s">
        <v>164</v>
      </c>
      <c r="K50" s="20" t="n">
        <v>2</v>
      </c>
      <c r="L50" s="20" t="s">
        <v>35</v>
      </c>
      <c r="M50" s="21" t="n">
        <f aca="false">G50*12*40</f>
        <v>144000</v>
      </c>
      <c r="N50" s="21" t="n">
        <v>73</v>
      </c>
    </row>
    <row r="51" customFormat="false" ht="15" hidden="false" customHeight="true" outlineLevel="0" collapsed="false">
      <c r="A51" s="20" t="n">
        <v>48</v>
      </c>
      <c r="B51" s="20" t="s">
        <v>187</v>
      </c>
      <c r="C51" s="20" t="s">
        <v>166</v>
      </c>
      <c r="D51" s="20" t="s">
        <v>178</v>
      </c>
      <c r="E51" s="20" t="s">
        <v>188</v>
      </c>
      <c r="F51" s="20" t="s">
        <v>33</v>
      </c>
      <c r="G51" s="20" t="n">
        <v>200</v>
      </c>
      <c r="H51" s="20" t="n">
        <v>1000</v>
      </c>
      <c r="I51" s="20" t="n">
        <v>15000</v>
      </c>
      <c r="J51" s="20" t="s">
        <v>141</v>
      </c>
      <c r="K51" s="20" t="n">
        <v>3</v>
      </c>
      <c r="L51" s="20" t="s">
        <v>35</v>
      </c>
      <c r="M51" s="21" t="n">
        <f aca="false">G51*12*50</f>
        <v>120000</v>
      </c>
      <c r="N51" s="21" t="n">
        <v>70</v>
      </c>
    </row>
    <row r="52" customFormat="false" ht="15" hidden="false" customHeight="true" outlineLevel="0" collapsed="false">
      <c r="A52" s="20" t="n">
        <v>49</v>
      </c>
      <c r="B52" s="20" t="s">
        <v>189</v>
      </c>
      <c r="C52" s="20" t="s">
        <v>166</v>
      </c>
      <c r="D52" s="20" t="s">
        <v>190</v>
      </c>
      <c r="E52" s="20" t="s">
        <v>51</v>
      </c>
      <c r="F52" s="20" t="s">
        <v>191</v>
      </c>
      <c r="G52" s="20" t="n">
        <v>300</v>
      </c>
      <c r="H52" s="20" t="n">
        <v>1500</v>
      </c>
      <c r="I52" s="20" t="n">
        <v>12000</v>
      </c>
      <c r="J52" s="20" t="s">
        <v>146</v>
      </c>
      <c r="K52" s="20" t="n">
        <v>2</v>
      </c>
      <c r="L52" s="20" t="s">
        <v>22</v>
      </c>
      <c r="M52" s="21" t="n">
        <f aca="false">G52*12*45</f>
        <v>162000</v>
      </c>
      <c r="N52" s="21" t="n">
        <v>81</v>
      </c>
    </row>
    <row r="53" customFormat="false" ht="15" hidden="false" customHeight="true" outlineLevel="0" collapsed="false">
      <c r="A53" s="20" t="n">
        <v>50</v>
      </c>
      <c r="B53" s="20" t="s">
        <v>192</v>
      </c>
      <c r="C53" s="20" t="s">
        <v>166</v>
      </c>
      <c r="D53" s="20" t="s">
        <v>193</v>
      </c>
      <c r="E53" s="20" t="s">
        <v>104</v>
      </c>
      <c r="F53" s="20" t="s">
        <v>145</v>
      </c>
      <c r="G53" s="20" t="n">
        <v>500</v>
      </c>
      <c r="H53" s="20" t="n">
        <v>3000</v>
      </c>
      <c r="I53" s="20" t="n">
        <v>20000</v>
      </c>
      <c r="J53" s="20" t="s">
        <v>141</v>
      </c>
      <c r="K53" s="20" t="n">
        <v>3</v>
      </c>
      <c r="L53" s="20" t="s">
        <v>35</v>
      </c>
      <c r="M53" s="21" t="n">
        <f aca="false">G53*12*25</f>
        <v>150000</v>
      </c>
      <c r="N53" s="21" t="n">
        <v>74</v>
      </c>
    </row>
    <row r="54" customFormat="false" ht="15" hidden="false" customHeight="true" outlineLevel="0" collapsed="false">
      <c r="A54" s="20" t="n">
        <v>51</v>
      </c>
      <c r="B54" s="20" t="s">
        <v>194</v>
      </c>
      <c r="C54" s="20" t="s">
        <v>195</v>
      </c>
      <c r="D54" s="20" t="s">
        <v>196</v>
      </c>
      <c r="E54" s="20" t="s">
        <v>197</v>
      </c>
      <c r="F54" s="20" t="s">
        <v>33</v>
      </c>
      <c r="G54" s="20" t="n">
        <v>400</v>
      </c>
      <c r="H54" s="20" t="n">
        <v>2000</v>
      </c>
      <c r="I54" s="20" t="n">
        <v>20000</v>
      </c>
      <c r="J54" s="20" t="s">
        <v>141</v>
      </c>
      <c r="K54" s="20" t="n">
        <v>3</v>
      </c>
      <c r="L54" s="20" t="s">
        <v>35</v>
      </c>
      <c r="M54" s="21" t="n">
        <f aca="false">G54*12*30</f>
        <v>144000</v>
      </c>
      <c r="N54" s="21" t="n">
        <v>73</v>
      </c>
    </row>
    <row r="55" customFormat="false" ht="15" hidden="false" customHeight="true" outlineLevel="0" collapsed="false">
      <c r="A55" s="20" t="n">
        <v>52</v>
      </c>
      <c r="B55" s="20" t="s">
        <v>198</v>
      </c>
      <c r="C55" s="20" t="s">
        <v>195</v>
      </c>
      <c r="D55" s="20" t="s">
        <v>199</v>
      </c>
      <c r="E55" s="20" t="s">
        <v>51</v>
      </c>
      <c r="F55" s="20" t="s">
        <v>33</v>
      </c>
      <c r="G55" s="20" t="n">
        <v>500</v>
      </c>
      <c r="H55" s="20" t="n">
        <v>3000</v>
      </c>
      <c r="I55" s="20" t="n">
        <v>25000</v>
      </c>
      <c r="J55" s="20" t="s">
        <v>164</v>
      </c>
      <c r="K55" s="20" t="n">
        <v>3</v>
      </c>
      <c r="L55" s="20" t="s">
        <v>22</v>
      </c>
      <c r="M55" s="21" t="n">
        <f aca="false">G55*12*40</f>
        <v>240000</v>
      </c>
      <c r="N55" s="21" t="n">
        <v>82</v>
      </c>
    </row>
    <row r="56" customFormat="false" ht="15" hidden="false" customHeight="true" outlineLevel="0" collapsed="false">
      <c r="A56" s="20" t="n">
        <v>53</v>
      </c>
      <c r="B56" s="20" t="s">
        <v>200</v>
      </c>
      <c r="C56" s="20" t="s">
        <v>195</v>
      </c>
      <c r="D56" s="20" t="s">
        <v>66</v>
      </c>
      <c r="E56" s="20" t="s">
        <v>201</v>
      </c>
      <c r="F56" s="20" t="s">
        <v>137</v>
      </c>
      <c r="G56" s="20" t="n">
        <v>300</v>
      </c>
      <c r="H56" s="20" t="n">
        <v>2000</v>
      </c>
      <c r="I56" s="20" t="n">
        <v>30000</v>
      </c>
      <c r="J56" s="20" t="s">
        <v>152</v>
      </c>
      <c r="K56" s="20" t="n">
        <v>4</v>
      </c>
      <c r="L56" s="20" t="s">
        <v>64</v>
      </c>
      <c r="M56" s="21" t="n">
        <f aca="false">G56*12*20</f>
        <v>72000</v>
      </c>
      <c r="N56" s="21" t="n">
        <v>65</v>
      </c>
    </row>
    <row r="57" customFormat="false" ht="15" hidden="false" customHeight="true" outlineLevel="0" collapsed="false">
      <c r="A57" s="20" t="n">
        <v>54</v>
      </c>
      <c r="B57" s="20" t="s">
        <v>202</v>
      </c>
      <c r="C57" s="20" t="s">
        <v>195</v>
      </c>
      <c r="D57" s="20" t="s">
        <v>203</v>
      </c>
      <c r="E57" s="20" t="s">
        <v>162</v>
      </c>
      <c r="F57" s="20" t="s">
        <v>204</v>
      </c>
      <c r="G57" s="20" t="n">
        <v>0</v>
      </c>
      <c r="H57" s="20" t="n">
        <v>1500</v>
      </c>
      <c r="I57" s="20" t="n">
        <v>8000</v>
      </c>
      <c r="J57" s="20" t="s">
        <v>146</v>
      </c>
      <c r="K57" s="20" t="n">
        <v>1</v>
      </c>
      <c r="L57" s="20" t="s">
        <v>22</v>
      </c>
      <c r="M57" s="21" t="n">
        <f aca="false">G57*12*100</f>
        <v>0</v>
      </c>
      <c r="N57" s="21" t="n">
        <v>85</v>
      </c>
    </row>
    <row r="58" customFormat="false" ht="15" hidden="false" customHeight="true" outlineLevel="0" collapsed="false">
      <c r="A58" s="20" t="n">
        <v>55</v>
      </c>
      <c r="B58" s="20" t="s">
        <v>205</v>
      </c>
      <c r="C58" s="20" t="s">
        <v>195</v>
      </c>
      <c r="D58" s="20" t="s">
        <v>78</v>
      </c>
      <c r="E58" s="20" t="s">
        <v>188</v>
      </c>
      <c r="F58" s="20" t="s">
        <v>33</v>
      </c>
      <c r="G58" s="20" t="n">
        <v>400</v>
      </c>
      <c r="H58" s="20" t="n">
        <v>2500</v>
      </c>
      <c r="I58" s="20" t="n">
        <v>20000</v>
      </c>
      <c r="J58" s="20" t="s">
        <v>141</v>
      </c>
      <c r="K58" s="20" t="n">
        <v>3</v>
      </c>
      <c r="L58" s="20" t="s">
        <v>35</v>
      </c>
      <c r="M58" s="21" t="n">
        <f aca="false">G58*12*35</f>
        <v>168000</v>
      </c>
      <c r="N58" s="21" t="n">
        <v>76</v>
      </c>
    </row>
    <row r="59" customFormat="false" ht="15" hidden="false" customHeight="true" outlineLevel="0" collapsed="false">
      <c r="A59" s="20" t="n">
        <v>56</v>
      </c>
      <c r="B59" s="20" t="s">
        <v>206</v>
      </c>
      <c r="C59" s="20" t="s">
        <v>195</v>
      </c>
      <c r="D59" s="20" t="s">
        <v>207</v>
      </c>
      <c r="E59" s="20" t="s">
        <v>208</v>
      </c>
      <c r="F59" s="20" t="s">
        <v>33</v>
      </c>
      <c r="G59" s="20" t="n">
        <v>500</v>
      </c>
      <c r="H59" s="20" t="n">
        <v>3000</v>
      </c>
      <c r="I59" s="20" t="n">
        <v>25000</v>
      </c>
      <c r="J59" s="20" t="s">
        <v>141</v>
      </c>
      <c r="K59" s="20" t="n">
        <v>3</v>
      </c>
      <c r="L59" s="20" t="s">
        <v>35</v>
      </c>
      <c r="M59" s="21" t="n">
        <f aca="false">G59*12*30</f>
        <v>180000</v>
      </c>
      <c r="N59" s="21" t="n">
        <v>74</v>
      </c>
    </row>
    <row r="60" customFormat="false" ht="15" hidden="false" customHeight="true" outlineLevel="0" collapsed="false">
      <c r="A60" s="20" t="n">
        <v>57</v>
      </c>
      <c r="B60" s="20" t="s">
        <v>209</v>
      </c>
      <c r="C60" s="20" t="s">
        <v>195</v>
      </c>
      <c r="D60" s="20" t="s">
        <v>78</v>
      </c>
      <c r="E60" s="20" t="s">
        <v>108</v>
      </c>
      <c r="F60" s="20" t="s">
        <v>33</v>
      </c>
      <c r="G60" s="20" t="n">
        <v>300</v>
      </c>
      <c r="H60" s="20" t="n">
        <v>1500</v>
      </c>
      <c r="I60" s="20" t="n">
        <v>15000</v>
      </c>
      <c r="J60" s="20" t="s">
        <v>164</v>
      </c>
      <c r="K60" s="20" t="n">
        <v>2</v>
      </c>
      <c r="L60" s="20" t="s">
        <v>35</v>
      </c>
      <c r="M60" s="21" t="n">
        <f aca="false">G60*12*40</f>
        <v>144000</v>
      </c>
      <c r="N60" s="21" t="n">
        <v>77</v>
      </c>
    </row>
    <row r="61" customFormat="false" ht="15" hidden="false" customHeight="true" outlineLevel="0" collapsed="false">
      <c r="A61" s="20" t="n">
        <v>58</v>
      </c>
      <c r="B61" s="20" t="s">
        <v>210</v>
      </c>
      <c r="C61" s="20" t="s">
        <v>195</v>
      </c>
      <c r="D61" s="20" t="s">
        <v>31</v>
      </c>
      <c r="E61" s="20" t="s">
        <v>211</v>
      </c>
      <c r="F61" s="20" t="s">
        <v>33</v>
      </c>
      <c r="G61" s="20" t="n">
        <v>400</v>
      </c>
      <c r="H61" s="20" t="n">
        <v>2000</v>
      </c>
      <c r="I61" s="20" t="n">
        <v>18000</v>
      </c>
      <c r="J61" s="20" t="s">
        <v>141</v>
      </c>
      <c r="K61" s="20" t="n">
        <v>3</v>
      </c>
      <c r="L61" s="20" t="s">
        <v>35</v>
      </c>
      <c r="M61" s="21" t="n">
        <f aca="false">G61*12*35</f>
        <v>168000</v>
      </c>
      <c r="N61" s="21" t="n">
        <v>74</v>
      </c>
    </row>
    <row r="62" customFormat="false" ht="15" hidden="false" customHeight="true" outlineLevel="0" collapsed="false">
      <c r="A62" s="20" t="n">
        <v>59</v>
      </c>
      <c r="B62" s="20" t="s">
        <v>212</v>
      </c>
      <c r="C62" s="20" t="s">
        <v>195</v>
      </c>
      <c r="D62" s="20" t="s">
        <v>120</v>
      </c>
      <c r="E62" s="20" t="s">
        <v>213</v>
      </c>
      <c r="F62" s="20" t="s">
        <v>156</v>
      </c>
      <c r="G62" s="20" t="n">
        <v>500</v>
      </c>
      <c r="H62" s="20" t="n">
        <v>2000</v>
      </c>
      <c r="I62" s="20" t="n">
        <v>25000</v>
      </c>
      <c r="J62" s="20" t="s">
        <v>159</v>
      </c>
      <c r="K62" s="20" t="n">
        <v>3</v>
      </c>
      <c r="L62" s="20" t="s">
        <v>35</v>
      </c>
      <c r="M62" s="21" t="n">
        <f aca="false">G62*12*25</f>
        <v>150000</v>
      </c>
      <c r="N62" s="21" t="n">
        <v>71</v>
      </c>
    </row>
    <row r="63" customFormat="false" ht="15" hidden="false" customHeight="true" outlineLevel="0" collapsed="false">
      <c r="A63" s="20" t="n">
        <v>60</v>
      </c>
      <c r="B63" s="20" t="s">
        <v>214</v>
      </c>
      <c r="C63" s="20" t="s">
        <v>195</v>
      </c>
      <c r="D63" s="20" t="s">
        <v>78</v>
      </c>
      <c r="E63" s="20" t="s">
        <v>215</v>
      </c>
      <c r="F63" s="20" t="s">
        <v>33</v>
      </c>
      <c r="G63" s="20" t="n">
        <v>300</v>
      </c>
      <c r="H63" s="20" t="n">
        <v>1500</v>
      </c>
      <c r="I63" s="20" t="n">
        <v>15000</v>
      </c>
      <c r="J63" s="20" t="s">
        <v>141</v>
      </c>
      <c r="K63" s="20" t="n">
        <v>3</v>
      </c>
      <c r="L63" s="20" t="s">
        <v>35</v>
      </c>
      <c r="M63" s="21" t="n">
        <f aca="false">G63*12*40</f>
        <v>144000</v>
      </c>
      <c r="N63" s="21" t="n">
        <v>70</v>
      </c>
    </row>
    <row r="64" customFormat="false" ht="15" hidden="false" customHeight="true" outlineLevel="0" collapsed="false">
      <c r="A64" s="22" t="n">
        <v>61</v>
      </c>
      <c r="B64" s="22" t="s">
        <v>216</v>
      </c>
      <c r="C64" s="22" t="s">
        <v>217</v>
      </c>
      <c r="D64" s="22" t="s">
        <v>31</v>
      </c>
      <c r="E64" s="22" t="s">
        <v>151</v>
      </c>
      <c r="F64" s="22" t="s">
        <v>33</v>
      </c>
      <c r="G64" s="22" t="n">
        <v>300</v>
      </c>
      <c r="H64" s="22" t="n">
        <v>1500</v>
      </c>
      <c r="I64" s="22" t="n">
        <v>20000</v>
      </c>
      <c r="J64" s="22" t="s">
        <v>141</v>
      </c>
      <c r="K64" s="22" t="n">
        <v>3</v>
      </c>
      <c r="L64" s="22" t="s">
        <v>22</v>
      </c>
      <c r="M64" s="23" t="n">
        <f aca="false">G64*12*45</f>
        <v>162000</v>
      </c>
      <c r="N64" s="23" t="n">
        <v>82</v>
      </c>
    </row>
    <row r="65" customFormat="false" ht="15" hidden="false" customHeight="true" outlineLevel="0" collapsed="false">
      <c r="A65" s="22" t="n">
        <v>62</v>
      </c>
      <c r="B65" s="22" t="s">
        <v>218</v>
      </c>
      <c r="C65" s="22" t="s">
        <v>217</v>
      </c>
      <c r="D65" s="22" t="s">
        <v>143</v>
      </c>
      <c r="E65" s="22" t="s">
        <v>144</v>
      </c>
      <c r="F65" s="22" t="s">
        <v>145</v>
      </c>
      <c r="G65" s="22" t="n">
        <v>500</v>
      </c>
      <c r="H65" s="22" t="n">
        <v>3000</v>
      </c>
      <c r="I65" s="22" t="n">
        <v>12000</v>
      </c>
      <c r="J65" s="22" t="s">
        <v>146</v>
      </c>
      <c r="K65" s="22" t="n">
        <v>2</v>
      </c>
      <c r="L65" s="22" t="s">
        <v>35</v>
      </c>
      <c r="M65" s="23" t="n">
        <f aca="false">G65*12*20</f>
        <v>120000</v>
      </c>
      <c r="N65" s="23" t="n">
        <v>77</v>
      </c>
    </row>
    <row r="66" customFormat="false" ht="15" hidden="false" customHeight="true" outlineLevel="0" collapsed="false">
      <c r="A66" s="22" t="n">
        <v>63</v>
      </c>
      <c r="B66" s="22" t="s">
        <v>219</v>
      </c>
      <c r="C66" s="22" t="s">
        <v>217</v>
      </c>
      <c r="D66" s="22" t="s">
        <v>31</v>
      </c>
      <c r="E66" s="22" t="s">
        <v>220</v>
      </c>
      <c r="F66" s="22" t="s">
        <v>33</v>
      </c>
      <c r="G66" s="22" t="n">
        <v>400</v>
      </c>
      <c r="H66" s="22" t="n">
        <v>2000</v>
      </c>
      <c r="I66" s="22" t="n">
        <v>25000</v>
      </c>
      <c r="J66" s="22" t="s">
        <v>159</v>
      </c>
      <c r="K66" s="22" t="n">
        <v>3</v>
      </c>
      <c r="L66" s="22" t="s">
        <v>35</v>
      </c>
      <c r="M66" s="23" t="n">
        <f aca="false">G66*12*30</f>
        <v>144000</v>
      </c>
      <c r="N66" s="23" t="n">
        <v>73</v>
      </c>
    </row>
    <row r="67" customFormat="false" ht="15" hidden="false" customHeight="true" outlineLevel="0" collapsed="false">
      <c r="A67" s="22" t="n">
        <v>64</v>
      </c>
      <c r="B67" s="22" t="s">
        <v>221</v>
      </c>
      <c r="C67" s="22" t="s">
        <v>217</v>
      </c>
      <c r="D67" s="22" t="s">
        <v>70</v>
      </c>
      <c r="E67" s="22" t="s">
        <v>222</v>
      </c>
      <c r="F67" s="22" t="s">
        <v>223</v>
      </c>
      <c r="G67" s="22" t="n">
        <v>2000</v>
      </c>
      <c r="H67" s="22" t="n">
        <v>8000</v>
      </c>
      <c r="I67" s="22" t="n">
        <v>5000</v>
      </c>
      <c r="J67" s="22" t="s">
        <v>224</v>
      </c>
      <c r="K67" s="22" t="n">
        <v>2</v>
      </c>
      <c r="L67" s="22" t="s">
        <v>22</v>
      </c>
      <c r="M67" s="23" t="n">
        <f aca="false">G67*12*15</f>
        <v>360000</v>
      </c>
      <c r="N67" s="23" t="n">
        <v>84</v>
      </c>
    </row>
    <row r="68" customFormat="false" ht="15" hidden="false" customHeight="true" outlineLevel="0" collapsed="false">
      <c r="A68" s="22" t="n">
        <v>65</v>
      </c>
      <c r="B68" s="22" t="s">
        <v>225</v>
      </c>
      <c r="C68" s="22" t="s">
        <v>217</v>
      </c>
      <c r="D68" s="22" t="s">
        <v>31</v>
      </c>
      <c r="E68" s="22" t="s">
        <v>226</v>
      </c>
      <c r="F68" s="22" t="s">
        <v>33</v>
      </c>
      <c r="G68" s="22" t="n">
        <v>500</v>
      </c>
      <c r="H68" s="22" t="n">
        <v>2500</v>
      </c>
      <c r="I68" s="22" t="n">
        <v>20000</v>
      </c>
      <c r="J68" s="22" t="s">
        <v>141</v>
      </c>
      <c r="K68" s="22" t="n">
        <v>3</v>
      </c>
      <c r="L68" s="22" t="s">
        <v>35</v>
      </c>
      <c r="M68" s="23" t="n">
        <f aca="false">G68*12*30</f>
        <v>180000</v>
      </c>
      <c r="N68" s="23" t="n">
        <v>78</v>
      </c>
    </row>
    <row r="69" customFormat="false" ht="23.25" hidden="false" customHeight="true" outlineLevel="0" collapsed="false">
      <c r="A69" s="22" t="n">
        <v>66</v>
      </c>
      <c r="B69" s="22" t="s">
        <v>227</v>
      </c>
      <c r="C69" s="22" t="s">
        <v>217</v>
      </c>
      <c r="D69" s="22" t="s">
        <v>31</v>
      </c>
      <c r="E69" s="22" t="s">
        <v>228</v>
      </c>
      <c r="F69" s="22" t="s">
        <v>33</v>
      </c>
      <c r="G69" s="22" t="n">
        <v>200</v>
      </c>
      <c r="H69" s="22" t="n">
        <v>1000</v>
      </c>
      <c r="I69" s="22" t="n">
        <v>15000</v>
      </c>
      <c r="J69" s="22" t="s">
        <v>164</v>
      </c>
      <c r="K69" s="22" t="n">
        <v>2</v>
      </c>
      <c r="L69" s="22" t="s">
        <v>35</v>
      </c>
      <c r="M69" s="23" t="n">
        <f aca="false">G69*12*50</f>
        <v>120000</v>
      </c>
      <c r="N69" s="23" t="n">
        <v>73</v>
      </c>
    </row>
    <row r="70" customFormat="false" ht="15" hidden="false" customHeight="true" outlineLevel="0" collapsed="false">
      <c r="A70" s="22" t="n">
        <v>67</v>
      </c>
      <c r="B70" s="22" t="s">
        <v>229</v>
      </c>
      <c r="C70" s="22" t="s">
        <v>217</v>
      </c>
      <c r="D70" s="22" t="s">
        <v>31</v>
      </c>
      <c r="E70" s="22" t="s">
        <v>230</v>
      </c>
      <c r="F70" s="22" t="s">
        <v>33</v>
      </c>
      <c r="G70" s="22" t="n">
        <v>400</v>
      </c>
      <c r="H70" s="22" t="n">
        <v>2000</v>
      </c>
      <c r="I70" s="22" t="n">
        <v>30000</v>
      </c>
      <c r="J70" s="22" t="s">
        <v>152</v>
      </c>
      <c r="K70" s="22" t="n">
        <v>4</v>
      </c>
      <c r="L70" s="22" t="s">
        <v>35</v>
      </c>
      <c r="M70" s="23" t="n">
        <f aca="false">G70*12*30</f>
        <v>144000</v>
      </c>
      <c r="N70" s="23" t="n">
        <v>70</v>
      </c>
    </row>
    <row r="71" customFormat="false" ht="15" hidden="false" customHeight="true" outlineLevel="0" collapsed="false">
      <c r="A71" s="22" t="n">
        <v>68</v>
      </c>
      <c r="B71" s="22" t="s">
        <v>231</v>
      </c>
      <c r="C71" s="22" t="s">
        <v>217</v>
      </c>
      <c r="D71" s="22" t="s">
        <v>31</v>
      </c>
      <c r="E71" s="22" t="s">
        <v>232</v>
      </c>
      <c r="F71" s="22" t="s">
        <v>33</v>
      </c>
      <c r="G71" s="22" t="n">
        <v>400</v>
      </c>
      <c r="H71" s="22" t="n">
        <v>2000</v>
      </c>
      <c r="I71" s="22" t="n">
        <v>20000</v>
      </c>
      <c r="J71" s="22" t="s">
        <v>159</v>
      </c>
      <c r="K71" s="22" t="n">
        <v>3</v>
      </c>
      <c r="L71" s="22" t="s">
        <v>35</v>
      </c>
      <c r="M71" s="23" t="n">
        <f aca="false">G71*12*35</f>
        <v>168000</v>
      </c>
      <c r="N71" s="23" t="n">
        <v>72</v>
      </c>
    </row>
    <row r="72" customFormat="false" ht="15" hidden="false" customHeight="true" outlineLevel="0" collapsed="false">
      <c r="A72" s="22" t="n">
        <v>69</v>
      </c>
      <c r="B72" s="22" t="s">
        <v>233</v>
      </c>
      <c r="C72" s="22" t="s">
        <v>217</v>
      </c>
      <c r="D72" s="22" t="s">
        <v>234</v>
      </c>
      <c r="E72" s="22" t="s">
        <v>235</v>
      </c>
      <c r="F72" s="22" t="s">
        <v>33</v>
      </c>
      <c r="G72" s="22" t="n">
        <v>500</v>
      </c>
      <c r="H72" s="22" t="n">
        <v>3000</v>
      </c>
      <c r="I72" s="22" t="n">
        <v>25000</v>
      </c>
      <c r="J72" s="22" t="s">
        <v>141</v>
      </c>
      <c r="K72" s="22" t="n">
        <v>3</v>
      </c>
      <c r="L72" s="22" t="s">
        <v>35</v>
      </c>
      <c r="M72" s="23" t="n">
        <f aca="false">G72*12*30</f>
        <v>180000</v>
      </c>
      <c r="N72" s="23" t="n">
        <v>75</v>
      </c>
    </row>
    <row r="73" customFormat="false" ht="15" hidden="false" customHeight="true" outlineLevel="0" collapsed="false">
      <c r="A73" s="22" t="n">
        <v>70</v>
      </c>
      <c r="B73" s="22" t="s">
        <v>236</v>
      </c>
      <c r="C73" s="22" t="s">
        <v>217</v>
      </c>
      <c r="D73" s="22" t="s">
        <v>31</v>
      </c>
      <c r="E73" s="22" t="s">
        <v>158</v>
      </c>
      <c r="F73" s="22" t="s">
        <v>237</v>
      </c>
      <c r="G73" s="22" t="n">
        <v>300</v>
      </c>
      <c r="H73" s="22" t="n">
        <v>1500</v>
      </c>
      <c r="I73" s="22" t="n">
        <v>15000</v>
      </c>
      <c r="J73" s="22" t="s">
        <v>164</v>
      </c>
      <c r="K73" s="22" t="n">
        <v>2</v>
      </c>
      <c r="L73" s="22" t="s">
        <v>35</v>
      </c>
      <c r="M73" s="23" t="n">
        <f aca="false">G73*12*40</f>
        <v>144000</v>
      </c>
      <c r="N73" s="23" t="n">
        <v>71</v>
      </c>
    </row>
    <row r="74" customFormat="false" ht="15" hidden="false" customHeight="true" outlineLevel="0" collapsed="false">
      <c r="A74" s="24" t="n">
        <v>71</v>
      </c>
      <c r="B74" s="24" t="s">
        <v>238</v>
      </c>
      <c r="C74" s="24" t="s">
        <v>239</v>
      </c>
      <c r="D74" s="24" t="s">
        <v>31</v>
      </c>
      <c r="E74" s="24" t="s">
        <v>158</v>
      </c>
      <c r="F74" s="24" t="s">
        <v>33</v>
      </c>
      <c r="G74" s="24" t="n">
        <v>300</v>
      </c>
      <c r="H74" s="24" t="n">
        <v>1500</v>
      </c>
      <c r="I74" s="24" t="n">
        <v>20000</v>
      </c>
      <c r="J74" s="24" t="s">
        <v>141</v>
      </c>
      <c r="K74" s="24" t="n">
        <v>3</v>
      </c>
      <c r="L74" s="24" t="s">
        <v>64</v>
      </c>
      <c r="M74" s="25" t="n">
        <f aca="false">G74*12*30</f>
        <v>108000</v>
      </c>
      <c r="N74" s="25" t="n">
        <v>65</v>
      </c>
    </row>
    <row r="75" customFormat="false" ht="15" hidden="false" customHeight="true" outlineLevel="0" collapsed="false">
      <c r="A75" s="24" t="n">
        <v>72</v>
      </c>
      <c r="B75" s="24" t="s">
        <v>240</v>
      </c>
      <c r="C75" s="24" t="s">
        <v>239</v>
      </c>
      <c r="D75" s="24" t="s">
        <v>31</v>
      </c>
      <c r="E75" s="24" t="s">
        <v>241</v>
      </c>
      <c r="F75" s="24" t="s">
        <v>33</v>
      </c>
      <c r="G75" s="24" t="n">
        <v>500</v>
      </c>
      <c r="H75" s="24" t="n">
        <v>2500</v>
      </c>
      <c r="I75" s="24" t="n">
        <v>25000</v>
      </c>
      <c r="J75" s="24" t="s">
        <v>159</v>
      </c>
      <c r="K75" s="24" t="n">
        <v>3</v>
      </c>
      <c r="L75" s="24" t="s">
        <v>35</v>
      </c>
      <c r="M75" s="25" t="n">
        <f aca="false">G75*12*30</f>
        <v>180000</v>
      </c>
      <c r="N75" s="25" t="n">
        <v>75</v>
      </c>
    </row>
    <row r="76" customFormat="false" ht="15" hidden="false" customHeight="true" outlineLevel="0" collapsed="false">
      <c r="A76" s="24" t="n">
        <v>73</v>
      </c>
      <c r="B76" s="24" t="s">
        <v>242</v>
      </c>
      <c r="C76" s="24" t="s">
        <v>239</v>
      </c>
      <c r="D76" s="24" t="s">
        <v>31</v>
      </c>
      <c r="E76" s="24" t="s">
        <v>243</v>
      </c>
      <c r="F76" s="24" t="s">
        <v>33</v>
      </c>
      <c r="G76" s="24" t="n">
        <v>200</v>
      </c>
      <c r="H76" s="24" t="n">
        <v>1000</v>
      </c>
      <c r="I76" s="24" t="n">
        <v>15000</v>
      </c>
      <c r="J76" s="24" t="s">
        <v>164</v>
      </c>
      <c r="K76" s="24" t="n">
        <v>2</v>
      </c>
      <c r="L76" s="24" t="s">
        <v>35</v>
      </c>
      <c r="M76" s="25" t="n">
        <f aca="false">G76*12*60</f>
        <v>144000</v>
      </c>
      <c r="N76" s="25" t="n">
        <v>73</v>
      </c>
    </row>
    <row r="77" customFormat="false" ht="15" hidden="false" customHeight="true" outlineLevel="0" collapsed="false">
      <c r="A77" s="24" t="n">
        <v>74</v>
      </c>
      <c r="B77" s="24" t="s">
        <v>244</v>
      </c>
      <c r="C77" s="24" t="s">
        <v>239</v>
      </c>
      <c r="D77" s="24" t="s">
        <v>245</v>
      </c>
      <c r="E77" s="24" t="s">
        <v>246</v>
      </c>
      <c r="F77" s="24" t="s">
        <v>33</v>
      </c>
      <c r="G77" s="24" t="n">
        <v>500</v>
      </c>
      <c r="H77" s="24" t="n">
        <v>2500</v>
      </c>
      <c r="I77" s="24" t="n">
        <v>25000</v>
      </c>
      <c r="J77" s="24" t="s">
        <v>159</v>
      </c>
      <c r="K77" s="24" t="n">
        <v>3</v>
      </c>
      <c r="L77" s="24" t="s">
        <v>35</v>
      </c>
      <c r="M77" s="25" t="n">
        <f aca="false">G77*12*25</f>
        <v>150000</v>
      </c>
      <c r="N77" s="25" t="n">
        <v>74</v>
      </c>
    </row>
    <row r="78" customFormat="false" ht="15" hidden="false" customHeight="true" outlineLevel="0" collapsed="false">
      <c r="A78" s="24" t="n">
        <v>75</v>
      </c>
      <c r="B78" s="24" t="s">
        <v>247</v>
      </c>
      <c r="C78" s="24" t="s">
        <v>239</v>
      </c>
      <c r="D78" s="24" t="s">
        <v>245</v>
      </c>
      <c r="E78" s="24" t="s">
        <v>248</v>
      </c>
      <c r="F78" s="24" t="s">
        <v>33</v>
      </c>
      <c r="G78" s="24" t="n">
        <v>400</v>
      </c>
      <c r="H78" s="24" t="n">
        <v>2000</v>
      </c>
      <c r="I78" s="24" t="n">
        <v>25000</v>
      </c>
      <c r="J78" s="24" t="s">
        <v>159</v>
      </c>
      <c r="K78" s="24" t="n">
        <v>3</v>
      </c>
      <c r="L78" s="24" t="s">
        <v>35</v>
      </c>
      <c r="M78" s="25" t="n">
        <f aca="false">G78*12*30</f>
        <v>144000</v>
      </c>
      <c r="N78" s="25" t="n">
        <v>72</v>
      </c>
    </row>
    <row r="79" customFormat="false" ht="15" hidden="false" customHeight="true" outlineLevel="0" collapsed="false">
      <c r="A79" s="24" t="n">
        <v>76</v>
      </c>
      <c r="B79" s="24" t="s">
        <v>249</v>
      </c>
      <c r="C79" s="24" t="s">
        <v>239</v>
      </c>
      <c r="D79" s="24" t="s">
        <v>31</v>
      </c>
      <c r="E79" s="24" t="s">
        <v>250</v>
      </c>
      <c r="F79" s="24" t="s">
        <v>33</v>
      </c>
      <c r="G79" s="24" t="n">
        <v>200</v>
      </c>
      <c r="H79" s="24" t="n">
        <v>1000</v>
      </c>
      <c r="I79" s="24" t="n">
        <v>12000</v>
      </c>
      <c r="J79" s="24" t="s">
        <v>164</v>
      </c>
      <c r="K79" s="24" t="n">
        <v>2</v>
      </c>
      <c r="L79" s="24" t="s">
        <v>35</v>
      </c>
      <c r="M79" s="25" t="n">
        <f aca="false">G79*12*50</f>
        <v>120000</v>
      </c>
      <c r="N79" s="25" t="n">
        <v>70</v>
      </c>
    </row>
    <row r="80" customFormat="false" ht="15" hidden="false" customHeight="true" outlineLevel="0" collapsed="false">
      <c r="A80" s="24" t="n">
        <v>77</v>
      </c>
      <c r="B80" s="24" t="s">
        <v>251</v>
      </c>
      <c r="C80" s="24" t="s">
        <v>239</v>
      </c>
      <c r="D80" s="24" t="s">
        <v>31</v>
      </c>
      <c r="E80" s="24" t="s">
        <v>252</v>
      </c>
      <c r="F80" s="24" t="s">
        <v>253</v>
      </c>
      <c r="G80" s="24" t="n">
        <v>300</v>
      </c>
      <c r="H80" s="24" t="n">
        <v>1500</v>
      </c>
      <c r="I80" s="24" t="n">
        <v>20000</v>
      </c>
      <c r="J80" s="24" t="s">
        <v>141</v>
      </c>
      <c r="K80" s="24" t="n">
        <v>3</v>
      </c>
      <c r="L80" s="24" t="s">
        <v>64</v>
      </c>
      <c r="M80" s="25" t="n">
        <f aca="false">G80*12*25</f>
        <v>90000</v>
      </c>
      <c r="N80" s="25" t="n">
        <v>62</v>
      </c>
    </row>
    <row r="81" customFormat="false" ht="15" hidden="false" customHeight="true" outlineLevel="0" collapsed="false">
      <c r="A81" s="24" t="n">
        <v>78</v>
      </c>
      <c r="B81" s="24" t="s">
        <v>254</v>
      </c>
      <c r="C81" s="24" t="s">
        <v>239</v>
      </c>
      <c r="D81" s="24" t="s">
        <v>245</v>
      </c>
      <c r="E81" s="24" t="s">
        <v>255</v>
      </c>
      <c r="F81" s="24" t="s">
        <v>33</v>
      </c>
      <c r="G81" s="24" t="n">
        <v>500</v>
      </c>
      <c r="H81" s="24" t="n">
        <v>3000</v>
      </c>
      <c r="I81" s="24" t="n">
        <v>30000</v>
      </c>
      <c r="J81" s="24" t="s">
        <v>152</v>
      </c>
      <c r="K81" s="24" t="n">
        <v>4</v>
      </c>
      <c r="L81" s="24" t="s">
        <v>64</v>
      </c>
      <c r="M81" s="25" t="n">
        <f aca="false">G81*12*20</f>
        <v>120000</v>
      </c>
      <c r="N81" s="25" t="n">
        <v>65</v>
      </c>
    </row>
    <row r="82" customFormat="false" ht="15" hidden="false" customHeight="true" outlineLevel="0" collapsed="false">
      <c r="A82" s="24" t="n">
        <v>79</v>
      </c>
      <c r="B82" s="24" t="s">
        <v>256</v>
      </c>
      <c r="C82" s="24" t="s">
        <v>239</v>
      </c>
      <c r="D82" s="24" t="s">
        <v>31</v>
      </c>
      <c r="E82" s="24" t="s">
        <v>257</v>
      </c>
      <c r="F82" s="24" t="s">
        <v>33</v>
      </c>
      <c r="G82" s="24" t="n">
        <v>300</v>
      </c>
      <c r="H82" s="24" t="n">
        <v>1500</v>
      </c>
      <c r="I82" s="24" t="n">
        <v>20000</v>
      </c>
      <c r="J82" s="24" t="s">
        <v>159</v>
      </c>
      <c r="K82" s="24" t="n">
        <v>3</v>
      </c>
      <c r="L82" s="24" t="s">
        <v>64</v>
      </c>
      <c r="M82" s="25" t="n">
        <f aca="false">G82*12*30</f>
        <v>108000</v>
      </c>
      <c r="N82" s="25" t="n">
        <v>63</v>
      </c>
    </row>
    <row r="83" customFormat="false" ht="15" hidden="false" customHeight="true" outlineLevel="0" collapsed="false">
      <c r="A83" s="24" t="n">
        <v>80</v>
      </c>
      <c r="B83" s="24" t="s">
        <v>258</v>
      </c>
      <c r="C83" s="24" t="s">
        <v>239</v>
      </c>
      <c r="D83" s="24" t="s">
        <v>31</v>
      </c>
      <c r="E83" s="24" t="s">
        <v>259</v>
      </c>
      <c r="F83" s="24" t="s">
        <v>260</v>
      </c>
      <c r="G83" s="24" t="n">
        <v>500</v>
      </c>
      <c r="H83" s="24" t="n">
        <v>3000</v>
      </c>
      <c r="I83" s="24" t="n">
        <v>20000</v>
      </c>
      <c r="J83" s="24" t="s">
        <v>141</v>
      </c>
      <c r="K83" s="24" t="n">
        <v>3</v>
      </c>
      <c r="L83" s="24" t="s">
        <v>35</v>
      </c>
      <c r="M83" s="25" t="n">
        <f aca="false">G83*12*30</f>
        <v>180000</v>
      </c>
      <c r="N83" s="25" t="n">
        <v>77</v>
      </c>
    </row>
    <row r="84" customFormat="false" ht="15" hidden="false" customHeight="true" outlineLevel="0" collapsed="false">
      <c r="A84" s="26" t="n">
        <v>81</v>
      </c>
      <c r="B84" s="26" t="s">
        <v>261</v>
      </c>
      <c r="C84" s="26" t="s">
        <v>262</v>
      </c>
      <c r="D84" s="26" t="s">
        <v>31</v>
      </c>
      <c r="E84" s="26" t="s">
        <v>162</v>
      </c>
      <c r="F84" s="26" t="s">
        <v>171</v>
      </c>
      <c r="G84" s="26" t="n">
        <v>300</v>
      </c>
      <c r="H84" s="26" t="n">
        <v>1500</v>
      </c>
      <c r="I84" s="26" t="n">
        <v>15000</v>
      </c>
      <c r="J84" s="26" t="s">
        <v>164</v>
      </c>
      <c r="K84" s="26" t="n">
        <v>2</v>
      </c>
      <c r="L84" s="26" t="s">
        <v>35</v>
      </c>
      <c r="M84" s="27" t="n">
        <f aca="false">G84*12*40</f>
        <v>144000</v>
      </c>
      <c r="N84" s="27" t="n">
        <v>73</v>
      </c>
    </row>
    <row r="85" customFormat="false" ht="15" hidden="false" customHeight="true" outlineLevel="0" collapsed="false">
      <c r="A85" s="26" t="n">
        <v>82</v>
      </c>
      <c r="B85" s="26" t="s">
        <v>263</v>
      </c>
      <c r="C85" s="26" t="s">
        <v>262</v>
      </c>
      <c r="D85" s="26" t="s">
        <v>245</v>
      </c>
      <c r="E85" s="26" t="s">
        <v>264</v>
      </c>
      <c r="F85" s="26" t="s">
        <v>265</v>
      </c>
      <c r="G85" s="26" t="n">
        <v>200</v>
      </c>
      <c r="H85" s="26" t="n">
        <v>1000</v>
      </c>
      <c r="I85" s="26" t="n">
        <v>12000</v>
      </c>
      <c r="J85" s="26" t="s">
        <v>164</v>
      </c>
      <c r="K85" s="26" t="n">
        <v>2</v>
      </c>
      <c r="L85" s="26" t="s">
        <v>64</v>
      </c>
      <c r="M85" s="27" t="n">
        <f aca="false">G85*12*40</f>
        <v>96000</v>
      </c>
      <c r="N85" s="27" t="n">
        <v>67</v>
      </c>
    </row>
    <row r="86" customFormat="false" ht="15" hidden="false" customHeight="true" outlineLevel="0" collapsed="false">
      <c r="A86" s="26" t="n">
        <v>83</v>
      </c>
      <c r="B86" s="26" t="s">
        <v>266</v>
      </c>
      <c r="C86" s="26" t="s">
        <v>262</v>
      </c>
      <c r="D86" s="26" t="s">
        <v>267</v>
      </c>
      <c r="E86" s="26" t="s">
        <v>268</v>
      </c>
      <c r="F86" s="26" t="s">
        <v>269</v>
      </c>
      <c r="G86" s="26" t="n">
        <v>500</v>
      </c>
      <c r="H86" s="26" t="n">
        <v>3000</v>
      </c>
      <c r="I86" s="26" t="n">
        <v>15000</v>
      </c>
      <c r="J86" s="26" t="s">
        <v>164</v>
      </c>
      <c r="K86" s="26" t="n">
        <v>2</v>
      </c>
      <c r="L86" s="26" t="s">
        <v>35</v>
      </c>
      <c r="M86" s="27" t="n">
        <f aca="false">G86*12*25</f>
        <v>150000</v>
      </c>
      <c r="N86" s="27" t="n">
        <v>75</v>
      </c>
    </row>
    <row r="87" customFormat="false" ht="15" hidden="false" customHeight="true" outlineLevel="0" collapsed="false">
      <c r="A87" s="26" t="n">
        <v>84</v>
      </c>
      <c r="B87" s="26" t="s">
        <v>270</v>
      </c>
      <c r="C87" s="26" t="s">
        <v>262</v>
      </c>
      <c r="D87" s="26" t="s">
        <v>245</v>
      </c>
      <c r="E87" s="26" t="s">
        <v>246</v>
      </c>
      <c r="F87" s="26" t="s">
        <v>171</v>
      </c>
      <c r="G87" s="26" t="n">
        <v>300</v>
      </c>
      <c r="H87" s="26" t="n">
        <v>1500</v>
      </c>
      <c r="I87" s="26" t="n">
        <v>15000</v>
      </c>
      <c r="J87" s="26" t="s">
        <v>164</v>
      </c>
      <c r="K87" s="26" t="n">
        <v>2</v>
      </c>
      <c r="L87" s="26" t="s">
        <v>35</v>
      </c>
      <c r="M87" s="27" t="n">
        <f aca="false">G87*12*35</f>
        <v>126000</v>
      </c>
      <c r="N87" s="27" t="n">
        <v>72</v>
      </c>
    </row>
    <row r="88" customFormat="false" ht="15" hidden="false" customHeight="true" outlineLevel="0" collapsed="false">
      <c r="A88" s="26" t="n">
        <v>85</v>
      </c>
      <c r="B88" s="26" t="s">
        <v>271</v>
      </c>
      <c r="C88" s="26" t="s">
        <v>262</v>
      </c>
      <c r="D88" s="26" t="s">
        <v>169</v>
      </c>
      <c r="E88" s="26" t="s">
        <v>272</v>
      </c>
      <c r="F88" s="26" t="s">
        <v>145</v>
      </c>
      <c r="G88" s="26" t="n">
        <v>500</v>
      </c>
      <c r="H88" s="26" t="n">
        <v>3000</v>
      </c>
      <c r="I88" s="26" t="n">
        <v>20000</v>
      </c>
      <c r="J88" s="26" t="s">
        <v>164</v>
      </c>
      <c r="K88" s="26" t="n">
        <v>2</v>
      </c>
      <c r="L88" s="26" t="s">
        <v>35</v>
      </c>
      <c r="M88" s="27" t="n">
        <f aca="false">G88*12*25</f>
        <v>150000</v>
      </c>
      <c r="N88" s="27" t="n">
        <v>77</v>
      </c>
    </row>
    <row r="89" customFormat="false" ht="15" hidden="false" customHeight="true" outlineLevel="0" collapsed="false">
      <c r="A89" s="26" t="n">
        <v>86</v>
      </c>
      <c r="B89" s="26" t="s">
        <v>273</v>
      </c>
      <c r="C89" s="26" t="s">
        <v>262</v>
      </c>
      <c r="D89" s="26" t="s">
        <v>31</v>
      </c>
      <c r="E89" s="26" t="s">
        <v>274</v>
      </c>
      <c r="F89" s="26" t="s">
        <v>33</v>
      </c>
      <c r="G89" s="26" t="n">
        <v>100</v>
      </c>
      <c r="H89" s="26" t="n">
        <v>500</v>
      </c>
      <c r="I89" s="26" t="n">
        <v>8000</v>
      </c>
      <c r="J89" s="26" t="s">
        <v>146</v>
      </c>
      <c r="K89" s="26" t="n">
        <v>1</v>
      </c>
      <c r="L89" s="26" t="s">
        <v>35</v>
      </c>
      <c r="M89" s="27" t="n">
        <f aca="false">G89*12*100</f>
        <v>120000</v>
      </c>
      <c r="N89" s="27" t="n">
        <v>74</v>
      </c>
    </row>
    <row r="90" customFormat="false" ht="15" hidden="false" customHeight="true" outlineLevel="0" collapsed="false">
      <c r="A90" s="26" t="n">
        <v>87</v>
      </c>
      <c r="B90" s="26" t="s">
        <v>275</v>
      </c>
      <c r="C90" s="26" t="s">
        <v>262</v>
      </c>
      <c r="D90" s="26" t="s">
        <v>276</v>
      </c>
      <c r="E90" s="26" t="s">
        <v>162</v>
      </c>
      <c r="F90" s="26" t="s">
        <v>171</v>
      </c>
      <c r="G90" s="26" t="n">
        <v>300</v>
      </c>
      <c r="H90" s="26" t="n">
        <v>2000</v>
      </c>
      <c r="I90" s="26" t="n">
        <v>25000</v>
      </c>
      <c r="J90" s="26" t="s">
        <v>159</v>
      </c>
      <c r="K90" s="26" t="n">
        <v>3</v>
      </c>
      <c r="L90" s="26" t="s">
        <v>64</v>
      </c>
      <c r="M90" s="27" t="n">
        <f aca="false">G90*12*20</f>
        <v>72000</v>
      </c>
      <c r="N90" s="27" t="n">
        <v>65</v>
      </c>
    </row>
    <row r="91" customFormat="false" ht="15" hidden="false" customHeight="true" outlineLevel="0" collapsed="false">
      <c r="A91" s="26" t="n">
        <v>88</v>
      </c>
      <c r="B91" s="26" t="s">
        <v>277</v>
      </c>
      <c r="C91" s="26" t="s">
        <v>262</v>
      </c>
      <c r="D91" s="26" t="s">
        <v>245</v>
      </c>
      <c r="E91" s="26" t="s">
        <v>257</v>
      </c>
      <c r="F91" s="26" t="s">
        <v>278</v>
      </c>
      <c r="G91" s="26" t="n">
        <v>300</v>
      </c>
      <c r="H91" s="26" t="n">
        <v>1500</v>
      </c>
      <c r="I91" s="26" t="n">
        <v>20000</v>
      </c>
      <c r="J91" s="26" t="s">
        <v>141</v>
      </c>
      <c r="K91" s="26" t="n">
        <v>3</v>
      </c>
      <c r="L91" s="26" t="s">
        <v>35</v>
      </c>
      <c r="M91" s="27" t="n">
        <f aca="false">G91*12*35</f>
        <v>126000</v>
      </c>
      <c r="N91" s="27" t="n">
        <v>72</v>
      </c>
    </row>
    <row r="92" customFormat="false" ht="15" hidden="false" customHeight="true" outlineLevel="0" collapsed="false">
      <c r="A92" s="26" t="n">
        <v>89</v>
      </c>
      <c r="B92" s="26" t="s">
        <v>279</v>
      </c>
      <c r="C92" s="26" t="s">
        <v>262</v>
      </c>
      <c r="D92" s="26" t="s">
        <v>245</v>
      </c>
      <c r="E92" s="26" t="s">
        <v>268</v>
      </c>
      <c r="F92" s="26" t="s">
        <v>33</v>
      </c>
      <c r="G92" s="26" t="n">
        <v>400</v>
      </c>
      <c r="H92" s="26" t="n">
        <v>2000</v>
      </c>
      <c r="I92" s="26" t="n">
        <v>20000</v>
      </c>
      <c r="J92" s="26" t="s">
        <v>141</v>
      </c>
      <c r="K92" s="26" t="n">
        <v>3</v>
      </c>
      <c r="L92" s="26" t="s">
        <v>64</v>
      </c>
      <c r="M92" s="27" t="n">
        <f aca="false">G92*12*25</f>
        <v>120000</v>
      </c>
      <c r="N92" s="27" t="n">
        <v>67</v>
      </c>
    </row>
    <row r="93" customFormat="false" ht="15" hidden="false" customHeight="true" outlineLevel="0" collapsed="false">
      <c r="A93" s="26" t="n">
        <v>90</v>
      </c>
      <c r="B93" s="26" t="s">
        <v>280</v>
      </c>
      <c r="C93" s="26" t="s">
        <v>262</v>
      </c>
      <c r="D93" s="26" t="s">
        <v>31</v>
      </c>
      <c r="E93" s="26" t="s">
        <v>281</v>
      </c>
      <c r="F93" s="26" t="s">
        <v>33</v>
      </c>
      <c r="G93" s="26" t="n">
        <v>400</v>
      </c>
      <c r="H93" s="26" t="n">
        <v>2000</v>
      </c>
      <c r="I93" s="26" t="n">
        <v>25000</v>
      </c>
      <c r="J93" s="26" t="s">
        <v>141</v>
      </c>
      <c r="K93" s="26" t="n">
        <v>3</v>
      </c>
      <c r="L93" s="26" t="s">
        <v>22</v>
      </c>
      <c r="M93" s="27" t="n">
        <f aca="false">G93*12*40</f>
        <v>192000</v>
      </c>
      <c r="N93" s="27" t="n">
        <v>80</v>
      </c>
    </row>
    <row r="94" customFormat="false" ht="79.5" hidden="false" customHeight="true" outlineLevel="0" collapsed="false">
      <c r="A94" s="28" t="s">
        <v>282</v>
      </c>
      <c r="M94" s="29" t="n">
        <f aca="false">SUM(M4:M93)</f>
        <v>166836000</v>
      </c>
      <c r="N94" s="29" t="n">
        <f aca="false">AVERAGE(N4:N93)</f>
        <v>69.4</v>
      </c>
    </row>
  </sheetData>
  <mergeCells count="3">
    <mergeCell ref="A1:N1"/>
    <mergeCell ref="A2:N2"/>
    <mergeCell ref="A34:F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4"/>
    <col collapsed="false" customWidth="true" hidden="false" outlineLevel="0" max="3" min="3" style="1" width="12"/>
    <col collapsed="false" customWidth="true" hidden="false" outlineLevel="0" max="4" min="4" style="1" width="18"/>
    <col collapsed="false" customWidth="true" hidden="false" outlineLevel="0" max="5" min="5" style="1" width="24"/>
    <col collapsed="false" customWidth="true" hidden="false" outlineLevel="0" max="6" min="6" style="1" width="22"/>
    <col collapsed="false" customWidth="true" hidden="false" outlineLevel="0" max="8" min="7" style="1" width="11"/>
    <col collapsed="false" customWidth="true" hidden="false" outlineLevel="0" max="9" min="9" style="1" width="13"/>
    <col collapsed="false" customWidth="true" hidden="false" outlineLevel="0" max="10" min="10" style="1" width="16"/>
    <col collapsed="false" customWidth="true" hidden="false" outlineLevel="0" max="12" min="11" style="1" width="14"/>
    <col collapsed="false" customWidth="true" hidden="false" outlineLevel="0" max="13" min="13" style="1" width="20"/>
    <col collapsed="false" customWidth="true" hidden="false" outlineLevel="0" max="14" min="14" style="1" width="10"/>
  </cols>
  <sheetData>
    <row r="1" customFormat="false" ht="30" hidden="false" customHeight="true" outlineLevel="0" collapsed="false">
      <c r="A1" s="30" t="s">
        <v>283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customFormat="false" ht="18" hidden="false" customHeight="true" outlineLevel="0" collapsed="false">
      <c r="A2" s="31" t="s">
        <v>284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customFormat="false" ht="15.75" hidden="false" customHeight="true" outlineLevel="0" collapsed="false">
      <c r="A3" s="32" t="s">
        <v>285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customFormat="false" ht="21.75" hidden="false" customHeight="true" outlineLevel="0" collapsed="false">
      <c r="A4" s="4" t="s">
        <v>2</v>
      </c>
      <c r="B4" s="4" t="s">
        <v>3</v>
      </c>
      <c r="C4" s="4" t="s">
        <v>286</v>
      </c>
      <c r="D4" s="4" t="s">
        <v>5</v>
      </c>
      <c r="E4" s="4" t="s">
        <v>6</v>
      </c>
      <c r="F4" s="4" t="s">
        <v>7</v>
      </c>
      <c r="G4" s="4" t="s">
        <v>287</v>
      </c>
      <c r="H4" s="4" t="s">
        <v>288</v>
      </c>
      <c r="I4" s="4" t="s">
        <v>10</v>
      </c>
      <c r="J4" s="4" t="s">
        <v>289</v>
      </c>
      <c r="K4" s="4" t="s">
        <v>12</v>
      </c>
      <c r="L4" s="4" t="s">
        <v>13</v>
      </c>
      <c r="M4" s="4" t="s">
        <v>14</v>
      </c>
      <c r="N4" s="4" t="s">
        <v>290</v>
      </c>
    </row>
    <row r="5" customFormat="false" ht="18" hidden="false" customHeight="true" outlineLevel="0" collapsed="false">
      <c r="A5" s="33" t="s">
        <v>291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</row>
    <row r="6" customFormat="false" ht="15.75" hidden="false" customHeight="true" outlineLevel="0" collapsed="false">
      <c r="A6" s="34" t="n">
        <v>31</v>
      </c>
      <c r="B6" s="35" t="s">
        <v>292</v>
      </c>
      <c r="C6" s="36" t="s">
        <v>136</v>
      </c>
      <c r="D6" s="35" t="s">
        <v>31</v>
      </c>
      <c r="E6" s="35" t="s">
        <v>293</v>
      </c>
      <c r="F6" s="35" t="s">
        <v>33</v>
      </c>
      <c r="G6" s="37" t="n">
        <v>150</v>
      </c>
      <c r="H6" s="37" t="n">
        <v>500</v>
      </c>
      <c r="I6" s="37" t="n">
        <v>15000</v>
      </c>
      <c r="J6" s="34" t="s">
        <v>34</v>
      </c>
      <c r="K6" s="34" t="n">
        <v>3</v>
      </c>
      <c r="L6" s="34" t="s">
        <v>35</v>
      </c>
      <c r="M6" s="37" t="n">
        <f aca="false">G6*12*20</f>
        <v>36000</v>
      </c>
      <c r="N6" s="34" t="n">
        <v>78</v>
      </c>
    </row>
    <row r="7" customFormat="false" ht="15.75" hidden="false" customHeight="true" outlineLevel="0" collapsed="false">
      <c r="A7" s="34" t="n">
        <v>32</v>
      </c>
      <c r="B7" s="35" t="s">
        <v>135</v>
      </c>
      <c r="C7" s="36" t="s">
        <v>136</v>
      </c>
      <c r="D7" s="35" t="s">
        <v>89</v>
      </c>
      <c r="E7" s="35" t="s">
        <v>104</v>
      </c>
      <c r="F7" s="35" t="s">
        <v>137</v>
      </c>
      <c r="G7" s="37" t="n">
        <v>500</v>
      </c>
      <c r="H7" s="37" t="n">
        <v>2500</v>
      </c>
      <c r="I7" s="37" t="n">
        <v>25000</v>
      </c>
      <c r="J7" s="34" t="s">
        <v>138</v>
      </c>
      <c r="K7" s="34" t="n">
        <v>4</v>
      </c>
      <c r="L7" s="34" t="s">
        <v>64</v>
      </c>
      <c r="M7" s="37" t="n">
        <f aca="false">G7*12*20</f>
        <v>120000</v>
      </c>
      <c r="N7" s="34" t="n">
        <v>65</v>
      </c>
    </row>
    <row r="8" customFormat="false" ht="15.75" hidden="false" customHeight="true" outlineLevel="0" collapsed="false">
      <c r="A8" s="34" t="n">
        <v>33</v>
      </c>
      <c r="B8" s="35" t="s">
        <v>139</v>
      </c>
      <c r="C8" s="36" t="s">
        <v>136</v>
      </c>
      <c r="D8" s="35" t="s">
        <v>31</v>
      </c>
      <c r="E8" s="35" t="s">
        <v>140</v>
      </c>
      <c r="F8" s="35" t="s">
        <v>33</v>
      </c>
      <c r="G8" s="37" t="n">
        <v>200</v>
      </c>
      <c r="H8" s="37" t="n">
        <v>800</v>
      </c>
      <c r="I8" s="37" t="n">
        <v>20000</v>
      </c>
      <c r="J8" s="34" t="s">
        <v>141</v>
      </c>
      <c r="K8" s="34" t="n">
        <v>3</v>
      </c>
      <c r="L8" s="34" t="s">
        <v>35</v>
      </c>
      <c r="M8" s="37" t="n">
        <f aca="false">G8*12*20</f>
        <v>48000</v>
      </c>
      <c r="N8" s="34" t="n">
        <v>72</v>
      </c>
    </row>
    <row r="9" customFormat="false" ht="15.75" hidden="false" customHeight="true" outlineLevel="0" collapsed="false">
      <c r="A9" s="34" t="n">
        <v>34</v>
      </c>
      <c r="B9" s="35" t="s">
        <v>142</v>
      </c>
      <c r="C9" s="36" t="s">
        <v>136</v>
      </c>
      <c r="D9" s="35" t="s">
        <v>143</v>
      </c>
      <c r="E9" s="35" t="s">
        <v>144</v>
      </c>
      <c r="F9" s="35" t="s">
        <v>145</v>
      </c>
      <c r="G9" s="37" t="n">
        <v>500</v>
      </c>
      <c r="H9" s="37" t="n">
        <v>3000</v>
      </c>
      <c r="I9" s="37" t="n">
        <v>10000</v>
      </c>
      <c r="J9" s="34" t="s">
        <v>146</v>
      </c>
      <c r="K9" s="34" t="n">
        <v>2</v>
      </c>
      <c r="L9" s="34" t="s">
        <v>22</v>
      </c>
      <c r="M9" s="37" t="n">
        <f aca="false">G9*12*20</f>
        <v>120000</v>
      </c>
      <c r="N9" s="34" t="n">
        <v>82</v>
      </c>
    </row>
    <row r="10" customFormat="false" ht="15.75" hidden="false" customHeight="true" outlineLevel="0" collapsed="false">
      <c r="A10" s="34" t="n">
        <v>35</v>
      </c>
      <c r="B10" s="35" t="s">
        <v>147</v>
      </c>
      <c r="C10" s="36" t="s">
        <v>136</v>
      </c>
      <c r="D10" s="35" t="s">
        <v>148</v>
      </c>
      <c r="E10" s="35" t="s">
        <v>149</v>
      </c>
      <c r="F10" s="35" t="s">
        <v>33</v>
      </c>
      <c r="G10" s="37" t="n">
        <v>100</v>
      </c>
      <c r="H10" s="37" t="n">
        <v>500</v>
      </c>
      <c r="I10" s="37" t="n">
        <v>15000</v>
      </c>
      <c r="J10" s="34" t="s">
        <v>141</v>
      </c>
      <c r="K10" s="34" t="n">
        <v>2</v>
      </c>
      <c r="L10" s="34" t="s">
        <v>64</v>
      </c>
      <c r="M10" s="37" t="n">
        <f aca="false">G10*12*20</f>
        <v>24000</v>
      </c>
      <c r="N10" s="34" t="n">
        <v>60</v>
      </c>
    </row>
    <row r="11" customFormat="false" ht="15.75" hidden="false" customHeight="true" outlineLevel="0" collapsed="false">
      <c r="A11" s="34" t="n">
        <v>36</v>
      </c>
      <c r="B11" s="35" t="s">
        <v>150</v>
      </c>
      <c r="C11" s="36" t="s">
        <v>136</v>
      </c>
      <c r="D11" s="35" t="s">
        <v>31</v>
      </c>
      <c r="E11" s="35" t="s">
        <v>151</v>
      </c>
      <c r="F11" s="35" t="s">
        <v>46</v>
      </c>
      <c r="G11" s="37" t="n">
        <v>500</v>
      </c>
      <c r="H11" s="37" t="n">
        <v>2000</v>
      </c>
      <c r="I11" s="37" t="n">
        <v>30000</v>
      </c>
      <c r="J11" s="34" t="s">
        <v>152</v>
      </c>
      <c r="K11" s="34" t="n">
        <v>4</v>
      </c>
      <c r="L11" s="34" t="s">
        <v>35</v>
      </c>
      <c r="M11" s="37" t="n">
        <f aca="false">G11*12*20</f>
        <v>120000</v>
      </c>
      <c r="N11" s="34" t="n">
        <v>70</v>
      </c>
    </row>
    <row r="12" customFormat="false" ht="15.75" hidden="false" customHeight="true" outlineLevel="0" collapsed="false">
      <c r="A12" s="34" t="n">
        <v>37</v>
      </c>
      <c r="B12" s="35" t="s">
        <v>153</v>
      </c>
      <c r="C12" s="36" t="s">
        <v>136</v>
      </c>
      <c r="D12" s="35" t="s">
        <v>31</v>
      </c>
      <c r="E12" s="35" t="s">
        <v>144</v>
      </c>
      <c r="F12" s="35" t="s">
        <v>33</v>
      </c>
      <c r="G12" s="37" t="n">
        <v>200</v>
      </c>
      <c r="H12" s="37" t="n">
        <v>1000</v>
      </c>
      <c r="I12" s="37" t="n">
        <v>12000</v>
      </c>
      <c r="J12" s="34" t="s">
        <v>141</v>
      </c>
      <c r="K12" s="34" t="n">
        <v>2</v>
      </c>
      <c r="L12" s="34" t="s">
        <v>35</v>
      </c>
      <c r="M12" s="37" t="n">
        <f aca="false">G12*12*20</f>
        <v>48000</v>
      </c>
      <c r="N12" s="34" t="n">
        <v>75</v>
      </c>
    </row>
    <row r="13" customFormat="false" ht="15.75" hidden="false" customHeight="true" outlineLevel="0" collapsed="false">
      <c r="A13" s="34" t="n">
        <v>38</v>
      </c>
      <c r="B13" s="35" t="s">
        <v>154</v>
      </c>
      <c r="C13" s="36" t="s">
        <v>136</v>
      </c>
      <c r="D13" s="35" t="s">
        <v>120</v>
      </c>
      <c r="E13" s="35" t="s">
        <v>155</v>
      </c>
      <c r="F13" s="35" t="s">
        <v>156</v>
      </c>
      <c r="G13" s="37" t="n">
        <v>500</v>
      </c>
      <c r="H13" s="37" t="n">
        <v>2000</v>
      </c>
      <c r="I13" s="37" t="n">
        <v>30000</v>
      </c>
      <c r="J13" s="34" t="s">
        <v>152</v>
      </c>
      <c r="K13" s="34" t="n">
        <v>3</v>
      </c>
      <c r="L13" s="34" t="s">
        <v>64</v>
      </c>
      <c r="M13" s="37" t="n">
        <f aca="false">G13*12*20</f>
        <v>120000</v>
      </c>
      <c r="N13" s="34" t="n">
        <v>62</v>
      </c>
    </row>
    <row r="14" customFormat="false" ht="15.75" hidden="false" customHeight="true" outlineLevel="0" collapsed="false">
      <c r="A14" s="34" t="n">
        <v>39</v>
      </c>
      <c r="B14" s="35" t="s">
        <v>157</v>
      </c>
      <c r="C14" s="36" t="s">
        <v>136</v>
      </c>
      <c r="D14" s="35" t="s">
        <v>31</v>
      </c>
      <c r="E14" s="35" t="s">
        <v>158</v>
      </c>
      <c r="F14" s="35" t="s">
        <v>33</v>
      </c>
      <c r="G14" s="37" t="n">
        <v>300</v>
      </c>
      <c r="H14" s="37" t="n">
        <v>1500</v>
      </c>
      <c r="I14" s="37" t="n">
        <v>25000</v>
      </c>
      <c r="J14" s="34" t="s">
        <v>159</v>
      </c>
      <c r="K14" s="34" t="n">
        <v>3</v>
      </c>
      <c r="L14" s="34" t="s">
        <v>35</v>
      </c>
      <c r="M14" s="37" t="n">
        <f aca="false">G14*12*20</f>
        <v>72000</v>
      </c>
      <c r="N14" s="34" t="n">
        <v>72</v>
      </c>
    </row>
    <row r="15" customFormat="false" ht="15.75" hidden="false" customHeight="true" outlineLevel="0" collapsed="false">
      <c r="A15" s="34" t="n">
        <v>40</v>
      </c>
      <c r="B15" s="35" t="s">
        <v>160</v>
      </c>
      <c r="C15" s="36" t="s">
        <v>136</v>
      </c>
      <c r="D15" s="35" t="s">
        <v>161</v>
      </c>
      <c r="E15" s="35" t="s">
        <v>162</v>
      </c>
      <c r="F15" s="35" t="s">
        <v>163</v>
      </c>
      <c r="G15" s="37" t="n">
        <v>100</v>
      </c>
      <c r="H15" s="37" t="n">
        <v>500</v>
      </c>
      <c r="I15" s="37" t="n">
        <v>10000</v>
      </c>
      <c r="J15" s="34" t="s">
        <v>164</v>
      </c>
      <c r="K15" s="34" t="n">
        <v>2</v>
      </c>
      <c r="L15" s="34" t="s">
        <v>35</v>
      </c>
      <c r="M15" s="37" t="n">
        <f aca="false">G15*12*20</f>
        <v>24000</v>
      </c>
      <c r="N15" s="34" t="n">
        <v>68</v>
      </c>
    </row>
    <row r="16" customFormat="false" ht="18" hidden="false" customHeight="true" outlineLevel="0" collapsed="false">
      <c r="A16" s="38" t="s">
        <v>294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</row>
    <row r="17" customFormat="false" ht="15.75" hidden="false" customHeight="true" outlineLevel="0" collapsed="false">
      <c r="A17" s="39" t="n">
        <v>41</v>
      </c>
      <c r="B17" s="40" t="s">
        <v>165</v>
      </c>
      <c r="C17" s="41" t="s">
        <v>166</v>
      </c>
      <c r="D17" s="40" t="s">
        <v>31</v>
      </c>
      <c r="E17" s="40" t="s">
        <v>167</v>
      </c>
      <c r="F17" s="40" t="s">
        <v>33</v>
      </c>
      <c r="G17" s="42" t="n">
        <v>300</v>
      </c>
      <c r="H17" s="42" t="n">
        <v>1500</v>
      </c>
      <c r="I17" s="42" t="n">
        <v>20000</v>
      </c>
      <c r="J17" s="39" t="s">
        <v>141</v>
      </c>
      <c r="K17" s="39" t="n">
        <v>2</v>
      </c>
      <c r="L17" s="39" t="s">
        <v>22</v>
      </c>
      <c r="M17" s="42" t="n">
        <f aca="false">G17*12*20</f>
        <v>72000</v>
      </c>
      <c r="N17" s="39" t="n">
        <v>80</v>
      </c>
    </row>
    <row r="18" customFormat="false" ht="15.75" hidden="false" customHeight="true" outlineLevel="0" collapsed="false">
      <c r="A18" s="39" t="n">
        <v>42</v>
      </c>
      <c r="B18" s="40" t="s">
        <v>168</v>
      </c>
      <c r="C18" s="41" t="s">
        <v>166</v>
      </c>
      <c r="D18" s="40" t="s">
        <v>169</v>
      </c>
      <c r="E18" s="40" t="s">
        <v>170</v>
      </c>
      <c r="F18" s="40" t="s">
        <v>171</v>
      </c>
      <c r="G18" s="42" t="n">
        <v>200</v>
      </c>
      <c r="H18" s="42" t="n">
        <v>1000</v>
      </c>
      <c r="I18" s="42" t="n">
        <v>15000</v>
      </c>
      <c r="J18" s="39" t="s">
        <v>164</v>
      </c>
      <c r="K18" s="39" t="n">
        <v>2</v>
      </c>
      <c r="L18" s="39" t="s">
        <v>35</v>
      </c>
      <c r="M18" s="42" t="n">
        <f aca="false">G18*12*20</f>
        <v>48000</v>
      </c>
      <c r="N18" s="39" t="n">
        <v>75</v>
      </c>
    </row>
    <row r="19" customFormat="false" ht="15.75" hidden="false" customHeight="true" outlineLevel="0" collapsed="false">
      <c r="A19" s="39" t="n">
        <v>43</v>
      </c>
      <c r="B19" s="40" t="s">
        <v>172</v>
      </c>
      <c r="C19" s="41" t="s">
        <v>166</v>
      </c>
      <c r="D19" s="40" t="s">
        <v>78</v>
      </c>
      <c r="E19" s="40" t="s">
        <v>173</v>
      </c>
      <c r="F19" s="40" t="s">
        <v>46</v>
      </c>
      <c r="G19" s="42" t="n">
        <v>400</v>
      </c>
      <c r="H19" s="42" t="n">
        <v>2000</v>
      </c>
      <c r="I19" s="42" t="n">
        <v>20000</v>
      </c>
      <c r="J19" s="39" t="s">
        <v>141</v>
      </c>
      <c r="K19" s="39" t="n">
        <v>3</v>
      </c>
      <c r="L19" s="39" t="s">
        <v>35</v>
      </c>
      <c r="M19" s="42" t="n">
        <f aca="false">G19*12*20</f>
        <v>96000</v>
      </c>
      <c r="N19" s="39" t="n">
        <v>77</v>
      </c>
    </row>
    <row r="20" customFormat="false" ht="15.75" hidden="false" customHeight="true" outlineLevel="0" collapsed="false">
      <c r="A20" s="39" t="n">
        <v>44</v>
      </c>
      <c r="B20" s="40" t="s">
        <v>174</v>
      </c>
      <c r="C20" s="41" t="s">
        <v>166</v>
      </c>
      <c r="D20" s="40" t="s">
        <v>175</v>
      </c>
      <c r="E20" s="40" t="s">
        <v>176</v>
      </c>
      <c r="F20" s="40" t="s">
        <v>33</v>
      </c>
      <c r="G20" s="42" t="n">
        <v>500</v>
      </c>
      <c r="H20" s="42" t="n">
        <v>2500</v>
      </c>
      <c r="I20" s="42" t="n">
        <v>25000</v>
      </c>
      <c r="J20" s="39" t="s">
        <v>159</v>
      </c>
      <c r="K20" s="39" t="n">
        <v>3</v>
      </c>
      <c r="L20" s="39" t="s">
        <v>35</v>
      </c>
      <c r="M20" s="42" t="n">
        <f aca="false">G20*12*20</f>
        <v>120000</v>
      </c>
      <c r="N20" s="39" t="n">
        <v>72</v>
      </c>
    </row>
    <row r="21" customFormat="false" ht="15.75" hidden="false" customHeight="true" outlineLevel="0" collapsed="false">
      <c r="A21" s="39" t="n">
        <v>45</v>
      </c>
      <c r="B21" s="40" t="s">
        <v>177</v>
      </c>
      <c r="C21" s="41" t="s">
        <v>166</v>
      </c>
      <c r="D21" s="40" t="s">
        <v>178</v>
      </c>
      <c r="E21" s="40" t="s">
        <v>179</v>
      </c>
      <c r="F21" s="40" t="s">
        <v>33</v>
      </c>
      <c r="G21" s="42" t="n">
        <v>150</v>
      </c>
      <c r="H21" s="42" t="n">
        <v>800</v>
      </c>
      <c r="I21" s="42" t="n">
        <v>15000</v>
      </c>
      <c r="J21" s="39" t="s">
        <v>164</v>
      </c>
      <c r="K21" s="39" t="n">
        <v>2</v>
      </c>
      <c r="L21" s="39" t="s">
        <v>22</v>
      </c>
      <c r="M21" s="42" t="n">
        <f aca="false">G21*12*20</f>
        <v>36000</v>
      </c>
      <c r="N21" s="39" t="n">
        <v>83</v>
      </c>
    </row>
    <row r="22" customFormat="false" ht="15.75" hidden="false" customHeight="true" outlineLevel="0" collapsed="false">
      <c r="A22" s="39" t="n">
        <v>46</v>
      </c>
      <c r="B22" s="40" t="s">
        <v>180</v>
      </c>
      <c r="C22" s="41" t="s">
        <v>166</v>
      </c>
      <c r="D22" s="40" t="s">
        <v>143</v>
      </c>
      <c r="E22" s="40" t="s">
        <v>181</v>
      </c>
      <c r="F22" s="40" t="s">
        <v>182</v>
      </c>
      <c r="G22" s="42" t="n">
        <v>500</v>
      </c>
      <c r="H22" s="42" t="n">
        <v>3000</v>
      </c>
      <c r="I22" s="42" t="n">
        <v>10000</v>
      </c>
      <c r="J22" s="39" t="s">
        <v>146</v>
      </c>
      <c r="K22" s="39" t="n">
        <v>2</v>
      </c>
      <c r="L22" s="39" t="s">
        <v>35</v>
      </c>
      <c r="M22" s="42" t="n">
        <f aca="false">G22*12*20</f>
        <v>120000</v>
      </c>
      <c r="N22" s="39" t="n">
        <v>78</v>
      </c>
    </row>
    <row r="23" customFormat="false" ht="15.75" hidden="false" customHeight="true" outlineLevel="0" collapsed="false">
      <c r="A23" s="39" t="n">
        <v>47</v>
      </c>
      <c r="B23" s="40" t="s">
        <v>183</v>
      </c>
      <c r="C23" s="41" t="s">
        <v>166</v>
      </c>
      <c r="D23" s="40" t="s">
        <v>184</v>
      </c>
      <c r="E23" s="40" t="s">
        <v>185</v>
      </c>
      <c r="F23" s="40" t="s">
        <v>186</v>
      </c>
      <c r="G23" s="42" t="n">
        <v>300</v>
      </c>
      <c r="H23" s="42" t="n">
        <v>1500</v>
      </c>
      <c r="I23" s="42" t="n">
        <v>12000</v>
      </c>
      <c r="J23" s="39" t="s">
        <v>164</v>
      </c>
      <c r="K23" s="39" t="n">
        <v>2</v>
      </c>
      <c r="L23" s="39" t="s">
        <v>35</v>
      </c>
      <c r="M23" s="42" t="n">
        <f aca="false">G23*12*20</f>
        <v>72000</v>
      </c>
      <c r="N23" s="39" t="n">
        <v>73</v>
      </c>
    </row>
    <row r="24" customFormat="false" ht="15.75" hidden="false" customHeight="true" outlineLevel="0" collapsed="false">
      <c r="A24" s="39" t="n">
        <v>48</v>
      </c>
      <c r="B24" s="40" t="s">
        <v>187</v>
      </c>
      <c r="C24" s="41" t="s">
        <v>166</v>
      </c>
      <c r="D24" s="40" t="s">
        <v>178</v>
      </c>
      <c r="E24" s="40" t="s">
        <v>188</v>
      </c>
      <c r="F24" s="40" t="s">
        <v>33</v>
      </c>
      <c r="G24" s="42" t="n">
        <v>200</v>
      </c>
      <c r="H24" s="42" t="n">
        <v>1000</v>
      </c>
      <c r="I24" s="42" t="n">
        <v>15000</v>
      </c>
      <c r="J24" s="39" t="s">
        <v>141</v>
      </c>
      <c r="K24" s="39" t="n">
        <v>3</v>
      </c>
      <c r="L24" s="39" t="s">
        <v>35</v>
      </c>
      <c r="M24" s="42" t="n">
        <f aca="false">G24*12*20</f>
        <v>48000</v>
      </c>
      <c r="N24" s="39" t="n">
        <v>70</v>
      </c>
    </row>
    <row r="25" customFormat="false" ht="15.75" hidden="false" customHeight="true" outlineLevel="0" collapsed="false">
      <c r="A25" s="39" t="n">
        <v>49</v>
      </c>
      <c r="B25" s="40" t="s">
        <v>189</v>
      </c>
      <c r="C25" s="41" t="s">
        <v>166</v>
      </c>
      <c r="D25" s="40" t="s">
        <v>190</v>
      </c>
      <c r="E25" s="40" t="s">
        <v>51</v>
      </c>
      <c r="F25" s="40" t="s">
        <v>191</v>
      </c>
      <c r="G25" s="42" t="n">
        <v>300</v>
      </c>
      <c r="H25" s="42" t="n">
        <v>1500</v>
      </c>
      <c r="I25" s="42" t="n">
        <v>12000</v>
      </c>
      <c r="J25" s="39" t="s">
        <v>146</v>
      </c>
      <c r="K25" s="39" t="n">
        <v>2</v>
      </c>
      <c r="L25" s="39" t="s">
        <v>22</v>
      </c>
      <c r="M25" s="42" t="n">
        <f aca="false">G25*12*20</f>
        <v>72000</v>
      </c>
      <c r="N25" s="39" t="n">
        <v>81</v>
      </c>
    </row>
    <row r="26" customFormat="false" ht="15.75" hidden="false" customHeight="true" outlineLevel="0" collapsed="false">
      <c r="A26" s="39" t="n">
        <v>50</v>
      </c>
      <c r="B26" s="40" t="s">
        <v>192</v>
      </c>
      <c r="C26" s="41" t="s">
        <v>166</v>
      </c>
      <c r="D26" s="40" t="s">
        <v>193</v>
      </c>
      <c r="E26" s="40" t="s">
        <v>104</v>
      </c>
      <c r="F26" s="40" t="s">
        <v>145</v>
      </c>
      <c r="G26" s="42" t="n">
        <v>500</v>
      </c>
      <c r="H26" s="42" t="n">
        <v>3000</v>
      </c>
      <c r="I26" s="42" t="n">
        <v>20000</v>
      </c>
      <c r="J26" s="39" t="s">
        <v>141</v>
      </c>
      <c r="K26" s="39" t="n">
        <v>3</v>
      </c>
      <c r="L26" s="39" t="s">
        <v>35</v>
      </c>
      <c r="M26" s="42" t="n">
        <f aca="false">G26*12*20</f>
        <v>120000</v>
      </c>
      <c r="N26" s="39" t="n">
        <v>74</v>
      </c>
    </row>
    <row r="27" customFormat="false" ht="18" hidden="false" customHeight="true" outlineLevel="0" collapsed="false">
      <c r="A27" s="43" t="s">
        <v>295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</row>
    <row r="28" customFormat="false" ht="15.75" hidden="false" customHeight="true" outlineLevel="0" collapsed="false">
      <c r="A28" s="39" t="n">
        <v>51</v>
      </c>
      <c r="B28" s="40" t="s">
        <v>194</v>
      </c>
      <c r="C28" s="41" t="s">
        <v>195</v>
      </c>
      <c r="D28" s="40" t="s">
        <v>196</v>
      </c>
      <c r="E28" s="40" t="s">
        <v>197</v>
      </c>
      <c r="F28" s="40" t="s">
        <v>33</v>
      </c>
      <c r="G28" s="42" t="n">
        <v>400</v>
      </c>
      <c r="H28" s="42" t="n">
        <v>2000</v>
      </c>
      <c r="I28" s="42" t="n">
        <v>20000</v>
      </c>
      <c r="J28" s="39" t="s">
        <v>141</v>
      </c>
      <c r="K28" s="39" t="n">
        <v>3</v>
      </c>
      <c r="L28" s="39" t="s">
        <v>35</v>
      </c>
      <c r="M28" s="42" t="n">
        <f aca="false">G28*12*20</f>
        <v>96000</v>
      </c>
      <c r="N28" s="39" t="n">
        <v>73</v>
      </c>
    </row>
    <row r="29" customFormat="false" ht="15.75" hidden="false" customHeight="true" outlineLevel="0" collapsed="false">
      <c r="A29" s="39" t="n">
        <v>52</v>
      </c>
      <c r="B29" s="40" t="s">
        <v>198</v>
      </c>
      <c r="C29" s="41" t="s">
        <v>195</v>
      </c>
      <c r="D29" s="40" t="s">
        <v>199</v>
      </c>
      <c r="E29" s="40" t="s">
        <v>51</v>
      </c>
      <c r="F29" s="40" t="s">
        <v>33</v>
      </c>
      <c r="G29" s="42" t="n">
        <v>500</v>
      </c>
      <c r="H29" s="42" t="n">
        <v>3000</v>
      </c>
      <c r="I29" s="42" t="n">
        <v>25000</v>
      </c>
      <c r="J29" s="39" t="s">
        <v>164</v>
      </c>
      <c r="K29" s="39" t="n">
        <v>3</v>
      </c>
      <c r="L29" s="39" t="s">
        <v>22</v>
      </c>
      <c r="M29" s="42" t="n">
        <f aca="false">G29*12*20</f>
        <v>120000</v>
      </c>
      <c r="N29" s="39" t="n">
        <v>82</v>
      </c>
    </row>
    <row r="30" customFormat="false" ht="15.75" hidden="false" customHeight="true" outlineLevel="0" collapsed="false">
      <c r="A30" s="39" t="n">
        <v>53</v>
      </c>
      <c r="B30" s="40" t="s">
        <v>200</v>
      </c>
      <c r="C30" s="41" t="s">
        <v>195</v>
      </c>
      <c r="D30" s="40" t="s">
        <v>66</v>
      </c>
      <c r="E30" s="40" t="s">
        <v>201</v>
      </c>
      <c r="F30" s="40" t="s">
        <v>137</v>
      </c>
      <c r="G30" s="42" t="n">
        <v>300</v>
      </c>
      <c r="H30" s="42" t="n">
        <v>2000</v>
      </c>
      <c r="I30" s="42" t="n">
        <v>30000</v>
      </c>
      <c r="J30" s="39" t="s">
        <v>152</v>
      </c>
      <c r="K30" s="39" t="n">
        <v>4</v>
      </c>
      <c r="L30" s="39" t="s">
        <v>64</v>
      </c>
      <c r="M30" s="42" t="n">
        <f aca="false">G30*12*20</f>
        <v>72000</v>
      </c>
      <c r="N30" s="39" t="n">
        <v>65</v>
      </c>
    </row>
    <row r="31" customFormat="false" ht="15.75" hidden="false" customHeight="true" outlineLevel="0" collapsed="false">
      <c r="A31" s="39" t="n">
        <v>54</v>
      </c>
      <c r="B31" s="40" t="s">
        <v>202</v>
      </c>
      <c r="C31" s="41" t="s">
        <v>195</v>
      </c>
      <c r="D31" s="40" t="s">
        <v>203</v>
      </c>
      <c r="E31" s="40" t="s">
        <v>162</v>
      </c>
      <c r="F31" s="40" t="s">
        <v>204</v>
      </c>
      <c r="G31" s="42" t="n">
        <v>0</v>
      </c>
      <c r="H31" s="42" t="n">
        <v>1500</v>
      </c>
      <c r="I31" s="42" t="n">
        <v>8000</v>
      </c>
      <c r="J31" s="39" t="s">
        <v>146</v>
      </c>
      <c r="K31" s="39" t="n">
        <v>1</v>
      </c>
      <c r="L31" s="39" t="s">
        <v>22</v>
      </c>
      <c r="M31" s="42" t="n">
        <f aca="false">H31*12*10</f>
        <v>180000</v>
      </c>
      <c r="N31" s="39" t="n">
        <v>85</v>
      </c>
    </row>
    <row r="32" customFormat="false" ht="15.75" hidden="false" customHeight="true" outlineLevel="0" collapsed="false">
      <c r="A32" s="39" t="n">
        <v>55</v>
      </c>
      <c r="B32" s="40" t="s">
        <v>205</v>
      </c>
      <c r="C32" s="41" t="s">
        <v>195</v>
      </c>
      <c r="D32" s="40" t="s">
        <v>78</v>
      </c>
      <c r="E32" s="40" t="s">
        <v>188</v>
      </c>
      <c r="F32" s="40" t="s">
        <v>33</v>
      </c>
      <c r="G32" s="42" t="n">
        <v>400</v>
      </c>
      <c r="H32" s="42" t="n">
        <v>2500</v>
      </c>
      <c r="I32" s="42" t="n">
        <v>20000</v>
      </c>
      <c r="J32" s="39" t="s">
        <v>141</v>
      </c>
      <c r="K32" s="39" t="n">
        <v>3</v>
      </c>
      <c r="L32" s="39" t="s">
        <v>35</v>
      </c>
      <c r="M32" s="42" t="n">
        <f aca="false">G32*12*20</f>
        <v>96000</v>
      </c>
      <c r="N32" s="39" t="n">
        <v>76</v>
      </c>
    </row>
    <row r="33" customFormat="false" ht="15.75" hidden="false" customHeight="true" outlineLevel="0" collapsed="false">
      <c r="A33" s="39" t="n">
        <v>56</v>
      </c>
      <c r="B33" s="40" t="s">
        <v>206</v>
      </c>
      <c r="C33" s="41" t="s">
        <v>195</v>
      </c>
      <c r="D33" s="40" t="s">
        <v>207</v>
      </c>
      <c r="E33" s="40" t="s">
        <v>208</v>
      </c>
      <c r="F33" s="40" t="s">
        <v>33</v>
      </c>
      <c r="G33" s="42" t="n">
        <v>500</v>
      </c>
      <c r="H33" s="42" t="n">
        <v>3000</v>
      </c>
      <c r="I33" s="42" t="n">
        <v>25000</v>
      </c>
      <c r="J33" s="39" t="s">
        <v>141</v>
      </c>
      <c r="K33" s="39" t="n">
        <v>3</v>
      </c>
      <c r="L33" s="39" t="s">
        <v>35</v>
      </c>
      <c r="M33" s="42" t="n">
        <f aca="false">G33*12*20</f>
        <v>120000</v>
      </c>
      <c r="N33" s="39" t="n">
        <v>74</v>
      </c>
    </row>
    <row r="34" customFormat="false" ht="15.75" hidden="false" customHeight="true" outlineLevel="0" collapsed="false">
      <c r="A34" s="39" t="n">
        <v>57</v>
      </c>
      <c r="B34" s="40" t="s">
        <v>209</v>
      </c>
      <c r="C34" s="41" t="s">
        <v>195</v>
      </c>
      <c r="D34" s="40" t="s">
        <v>78</v>
      </c>
      <c r="E34" s="40" t="s">
        <v>108</v>
      </c>
      <c r="F34" s="40" t="s">
        <v>33</v>
      </c>
      <c r="G34" s="42" t="n">
        <v>300</v>
      </c>
      <c r="H34" s="42" t="n">
        <v>1500</v>
      </c>
      <c r="I34" s="42" t="n">
        <v>15000</v>
      </c>
      <c r="J34" s="39" t="s">
        <v>164</v>
      </c>
      <c r="K34" s="39" t="n">
        <v>2</v>
      </c>
      <c r="L34" s="39" t="s">
        <v>35</v>
      </c>
      <c r="M34" s="42" t="n">
        <f aca="false">G34*12*20</f>
        <v>72000</v>
      </c>
      <c r="N34" s="39" t="n">
        <v>77</v>
      </c>
    </row>
    <row r="35" customFormat="false" ht="15.75" hidden="false" customHeight="true" outlineLevel="0" collapsed="false">
      <c r="A35" s="39" t="n">
        <v>58</v>
      </c>
      <c r="B35" s="40" t="s">
        <v>210</v>
      </c>
      <c r="C35" s="41" t="s">
        <v>195</v>
      </c>
      <c r="D35" s="40" t="s">
        <v>31</v>
      </c>
      <c r="E35" s="40" t="s">
        <v>211</v>
      </c>
      <c r="F35" s="40" t="s">
        <v>33</v>
      </c>
      <c r="G35" s="42" t="n">
        <v>400</v>
      </c>
      <c r="H35" s="42" t="n">
        <v>2000</v>
      </c>
      <c r="I35" s="42" t="n">
        <v>18000</v>
      </c>
      <c r="J35" s="39" t="s">
        <v>141</v>
      </c>
      <c r="K35" s="39" t="n">
        <v>3</v>
      </c>
      <c r="L35" s="39" t="s">
        <v>35</v>
      </c>
      <c r="M35" s="42" t="n">
        <f aca="false">G35*12*20</f>
        <v>96000</v>
      </c>
      <c r="N35" s="39" t="n">
        <v>74</v>
      </c>
    </row>
    <row r="36" customFormat="false" ht="15.75" hidden="false" customHeight="true" outlineLevel="0" collapsed="false">
      <c r="A36" s="39" t="n">
        <v>59</v>
      </c>
      <c r="B36" s="40" t="s">
        <v>212</v>
      </c>
      <c r="C36" s="41" t="s">
        <v>195</v>
      </c>
      <c r="D36" s="40" t="s">
        <v>120</v>
      </c>
      <c r="E36" s="40" t="s">
        <v>213</v>
      </c>
      <c r="F36" s="40" t="s">
        <v>156</v>
      </c>
      <c r="G36" s="42" t="n">
        <v>500</v>
      </c>
      <c r="H36" s="42" t="n">
        <v>2000</v>
      </c>
      <c r="I36" s="42" t="n">
        <v>25000</v>
      </c>
      <c r="J36" s="39" t="s">
        <v>159</v>
      </c>
      <c r="K36" s="39" t="n">
        <v>3</v>
      </c>
      <c r="L36" s="39" t="s">
        <v>35</v>
      </c>
      <c r="M36" s="42" t="n">
        <f aca="false">G36*12*20</f>
        <v>120000</v>
      </c>
      <c r="N36" s="39" t="n">
        <v>71</v>
      </c>
    </row>
    <row r="37" customFormat="false" ht="15.75" hidden="false" customHeight="true" outlineLevel="0" collapsed="false">
      <c r="A37" s="39" t="n">
        <v>60</v>
      </c>
      <c r="B37" s="40" t="s">
        <v>214</v>
      </c>
      <c r="C37" s="41" t="s">
        <v>195</v>
      </c>
      <c r="D37" s="40" t="s">
        <v>78</v>
      </c>
      <c r="E37" s="40" t="s">
        <v>215</v>
      </c>
      <c r="F37" s="40" t="s">
        <v>33</v>
      </c>
      <c r="G37" s="42" t="n">
        <v>300</v>
      </c>
      <c r="H37" s="42" t="n">
        <v>1500</v>
      </c>
      <c r="I37" s="42" t="n">
        <v>15000</v>
      </c>
      <c r="J37" s="39" t="s">
        <v>141</v>
      </c>
      <c r="K37" s="39" t="n">
        <v>3</v>
      </c>
      <c r="L37" s="39" t="s">
        <v>35</v>
      </c>
      <c r="M37" s="42" t="n">
        <f aca="false">G37*12*20</f>
        <v>72000</v>
      </c>
      <c r="N37" s="39" t="n">
        <v>70</v>
      </c>
    </row>
    <row r="38" customFormat="false" ht="18" hidden="false" customHeight="true" outlineLevel="0" collapsed="false">
      <c r="A38" s="44" t="s">
        <v>296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</row>
    <row r="39" customFormat="false" ht="15.75" hidden="false" customHeight="true" outlineLevel="0" collapsed="false">
      <c r="A39" s="45" t="n">
        <v>61</v>
      </c>
      <c r="B39" s="46" t="s">
        <v>216</v>
      </c>
      <c r="C39" s="47" t="s">
        <v>217</v>
      </c>
      <c r="D39" s="46" t="s">
        <v>31</v>
      </c>
      <c r="E39" s="46" t="s">
        <v>151</v>
      </c>
      <c r="F39" s="46" t="s">
        <v>33</v>
      </c>
      <c r="G39" s="48" t="n">
        <v>300</v>
      </c>
      <c r="H39" s="48" t="n">
        <v>1500</v>
      </c>
      <c r="I39" s="48" t="n">
        <v>20000</v>
      </c>
      <c r="J39" s="45" t="s">
        <v>141</v>
      </c>
      <c r="K39" s="45" t="n">
        <v>3</v>
      </c>
      <c r="L39" s="45" t="s">
        <v>22</v>
      </c>
      <c r="M39" s="48" t="n">
        <f aca="false">G39*12*20</f>
        <v>72000</v>
      </c>
      <c r="N39" s="45" t="n">
        <v>82</v>
      </c>
    </row>
    <row r="40" customFormat="false" ht="15.75" hidden="false" customHeight="true" outlineLevel="0" collapsed="false">
      <c r="A40" s="45" t="n">
        <v>62</v>
      </c>
      <c r="B40" s="46" t="s">
        <v>218</v>
      </c>
      <c r="C40" s="47" t="s">
        <v>217</v>
      </c>
      <c r="D40" s="46" t="s">
        <v>143</v>
      </c>
      <c r="E40" s="46" t="s">
        <v>144</v>
      </c>
      <c r="F40" s="46" t="s">
        <v>145</v>
      </c>
      <c r="G40" s="48" t="n">
        <v>500</v>
      </c>
      <c r="H40" s="48" t="n">
        <v>3000</v>
      </c>
      <c r="I40" s="48" t="n">
        <v>12000</v>
      </c>
      <c r="J40" s="45" t="s">
        <v>146</v>
      </c>
      <c r="K40" s="45" t="n">
        <v>2</v>
      </c>
      <c r="L40" s="45" t="s">
        <v>35</v>
      </c>
      <c r="M40" s="48" t="n">
        <f aca="false">G40*12*20</f>
        <v>120000</v>
      </c>
      <c r="N40" s="45" t="n">
        <v>77</v>
      </c>
    </row>
    <row r="41" customFormat="false" ht="15.75" hidden="false" customHeight="true" outlineLevel="0" collapsed="false">
      <c r="A41" s="45" t="n">
        <v>63</v>
      </c>
      <c r="B41" s="46" t="s">
        <v>219</v>
      </c>
      <c r="C41" s="47" t="s">
        <v>217</v>
      </c>
      <c r="D41" s="46" t="s">
        <v>31</v>
      </c>
      <c r="E41" s="46" t="s">
        <v>220</v>
      </c>
      <c r="F41" s="46" t="s">
        <v>33</v>
      </c>
      <c r="G41" s="48" t="n">
        <v>400</v>
      </c>
      <c r="H41" s="48" t="n">
        <v>2000</v>
      </c>
      <c r="I41" s="48" t="n">
        <v>25000</v>
      </c>
      <c r="J41" s="45" t="s">
        <v>159</v>
      </c>
      <c r="K41" s="45" t="n">
        <v>3</v>
      </c>
      <c r="L41" s="45" t="s">
        <v>35</v>
      </c>
      <c r="M41" s="48" t="n">
        <f aca="false">G41*12*20</f>
        <v>96000</v>
      </c>
      <c r="N41" s="45" t="n">
        <v>73</v>
      </c>
    </row>
    <row r="42" customFormat="false" ht="15.75" hidden="false" customHeight="true" outlineLevel="0" collapsed="false">
      <c r="A42" s="45" t="n">
        <v>64</v>
      </c>
      <c r="B42" s="46" t="s">
        <v>221</v>
      </c>
      <c r="C42" s="47" t="s">
        <v>217</v>
      </c>
      <c r="D42" s="46" t="s">
        <v>70</v>
      </c>
      <c r="E42" s="46" t="s">
        <v>222</v>
      </c>
      <c r="F42" s="46" t="s">
        <v>223</v>
      </c>
      <c r="G42" s="48" t="n">
        <v>2000</v>
      </c>
      <c r="H42" s="48" t="n">
        <v>8000</v>
      </c>
      <c r="I42" s="48" t="n">
        <v>5000</v>
      </c>
      <c r="J42" s="45" t="s">
        <v>224</v>
      </c>
      <c r="K42" s="45" t="n">
        <v>2</v>
      </c>
      <c r="L42" s="45" t="s">
        <v>22</v>
      </c>
      <c r="M42" s="48" t="n">
        <f aca="false">G42*12*20</f>
        <v>480000</v>
      </c>
      <c r="N42" s="45" t="n">
        <v>84</v>
      </c>
    </row>
    <row r="43" customFormat="false" ht="15.75" hidden="false" customHeight="true" outlineLevel="0" collapsed="false">
      <c r="A43" s="45" t="n">
        <v>65</v>
      </c>
      <c r="B43" s="46" t="s">
        <v>225</v>
      </c>
      <c r="C43" s="47" t="s">
        <v>217</v>
      </c>
      <c r="D43" s="46" t="s">
        <v>31</v>
      </c>
      <c r="E43" s="46" t="s">
        <v>226</v>
      </c>
      <c r="F43" s="46" t="s">
        <v>33</v>
      </c>
      <c r="G43" s="48" t="n">
        <v>500</v>
      </c>
      <c r="H43" s="48" t="n">
        <v>2500</v>
      </c>
      <c r="I43" s="48" t="n">
        <v>20000</v>
      </c>
      <c r="J43" s="45" t="s">
        <v>141</v>
      </c>
      <c r="K43" s="45" t="n">
        <v>3</v>
      </c>
      <c r="L43" s="45" t="s">
        <v>35</v>
      </c>
      <c r="M43" s="48" t="n">
        <f aca="false">G43*12*20</f>
        <v>120000</v>
      </c>
      <c r="N43" s="45" t="n">
        <v>78</v>
      </c>
    </row>
    <row r="44" customFormat="false" ht="15.75" hidden="false" customHeight="true" outlineLevel="0" collapsed="false">
      <c r="A44" s="45" t="n">
        <v>66</v>
      </c>
      <c r="B44" s="46" t="s">
        <v>227</v>
      </c>
      <c r="C44" s="47" t="s">
        <v>217</v>
      </c>
      <c r="D44" s="46" t="s">
        <v>31</v>
      </c>
      <c r="E44" s="46" t="s">
        <v>228</v>
      </c>
      <c r="F44" s="46" t="s">
        <v>33</v>
      </c>
      <c r="G44" s="48" t="n">
        <v>200</v>
      </c>
      <c r="H44" s="48" t="n">
        <v>1000</v>
      </c>
      <c r="I44" s="48" t="n">
        <v>15000</v>
      </c>
      <c r="J44" s="45" t="s">
        <v>164</v>
      </c>
      <c r="K44" s="45" t="n">
        <v>2</v>
      </c>
      <c r="L44" s="45" t="s">
        <v>35</v>
      </c>
      <c r="M44" s="48" t="n">
        <f aca="false">G44*12*20</f>
        <v>48000</v>
      </c>
      <c r="N44" s="45" t="n">
        <v>73</v>
      </c>
    </row>
    <row r="45" customFormat="false" ht="15.75" hidden="false" customHeight="true" outlineLevel="0" collapsed="false">
      <c r="A45" s="45" t="n">
        <v>67</v>
      </c>
      <c r="B45" s="46" t="s">
        <v>229</v>
      </c>
      <c r="C45" s="47" t="s">
        <v>217</v>
      </c>
      <c r="D45" s="46" t="s">
        <v>31</v>
      </c>
      <c r="E45" s="46" t="s">
        <v>230</v>
      </c>
      <c r="F45" s="46" t="s">
        <v>33</v>
      </c>
      <c r="G45" s="48" t="n">
        <v>400</v>
      </c>
      <c r="H45" s="48" t="n">
        <v>2000</v>
      </c>
      <c r="I45" s="48" t="n">
        <v>30000</v>
      </c>
      <c r="J45" s="45" t="s">
        <v>152</v>
      </c>
      <c r="K45" s="45" t="n">
        <v>4</v>
      </c>
      <c r="L45" s="45" t="s">
        <v>35</v>
      </c>
      <c r="M45" s="48" t="n">
        <f aca="false">G45*12*20</f>
        <v>96000</v>
      </c>
      <c r="N45" s="45" t="n">
        <v>70</v>
      </c>
    </row>
    <row r="46" customFormat="false" ht="15.75" hidden="false" customHeight="true" outlineLevel="0" collapsed="false">
      <c r="A46" s="45" t="n">
        <v>68</v>
      </c>
      <c r="B46" s="46" t="s">
        <v>231</v>
      </c>
      <c r="C46" s="47" t="s">
        <v>217</v>
      </c>
      <c r="D46" s="46" t="s">
        <v>31</v>
      </c>
      <c r="E46" s="46" t="s">
        <v>232</v>
      </c>
      <c r="F46" s="46" t="s">
        <v>33</v>
      </c>
      <c r="G46" s="48" t="n">
        <v>400</v>
      </c>
      <c r="H46" s="48" t="n">
        <v>2000</v>
      </c>
      <c r="I46" s="48" t="n">
        <v>20000</v>
      </c>
      <c r="J46" s="45" t="s">
        <v>159</v>
      </c>
      <c r="K46" s="45" t="n">
        <v>3</v>
      </c>
      <c r="L46" s="45" t="s">
        <v>35</v>
      </c>
      <c r="M46" s="48" t="n">
        <f aca="false">G46*12*20</f>
        <v>96000</v>
      </c>
      <c r="N46" s="45" t="n">
        <v>72</v>
      </c>
    </row>
    <row r="47" customFormat="false" ht="15.75" hidden="false" customHeight="true" outlineLevel="0" collapsed="false">
      <c r="A47" s="45" t="n">
        <v>69</v>
      </c>
      <c r="B47" s="46" t="s">
        <v>233</v>
      </c>
      <c r="C47" s="47" t="s">
        <v>217</v>
      </c>
      <c r="D47" s="46" t="s">
        <v>234</v>
      </c>
      <c r="E47" s="46" t="s">
        <v>235</v>
      </c>
      <c r="F47" s="46" t="s">
        <v>33</v>
      </c>
      <c r="G47" s="48" t="n">
        <v>500</v>
      </c>
      <c r="H47" s="48" t="n">
        <v>3000</v>
      </c>
      <c r="I47" s="48" t="n">
        <v>25000</v>
      </c>
      <c r="J47" s="45" t="s">
        <v>141</v>
      </c>
      <c r="K47" s="45" t="n">
        <v>3</v>
      </c>
      <c r="L47" s="45" t="s">
        <v>35</v>
      </c>
      <c r="M47" s="48" t="n">
        <f aca="false">G47*12*20</f>
        <v>120000</v>
      </c>
      <c r="N47" s="45" t="n">
        <v>75</v>
      </c>
    </row>
    <row r="48" customFormat="false" ht="15.75" hidden="false" customHeight="true" outlineLevel="0" collapsed="false">
      <c r="A48" s="45" t="n">
        <v>70</v>
      </c>
      <c r="B48" s="46" t="s">
        <v>236</v>
      </c>
      <c r="C48" s="47" t="s">
        <v>217</v>
      </c>
      <c r="D48" s="46" t="s">
        <v>31</v>
      </c>
      <c r="E48" s="46" t="s">
        <v>158</v>
      </c>
      <c r="F48" s="46" t="s">
        <v>237</v>
      </c>
      <c r="G48" s="48" t="n">
        <v>300</v>
      </c>
      <c r="H48" s="48" t="n">
        <v>1500</v>
      </c>
      <c r="I48" s="48" t="n">
        <v>15000</v>
      </c>
      <c r="J48" s="45" t="s">
        <v>164</v>
      </c>
      <c r="K48" s="45" t="n">
        <v>2</v>
      </c>
      <c r="L48" s="45" t="s">
        <v>35</v>
      </c>
      <c r="M48" s="48" t="n">
        <f aca="false">G48*12*20</f>
        <v>72000</v>
      </c>
      <c r="N48" s="45" t="n">
        <v>71</v>
      </c>
    </row>
    <row r="49" customFormat="false" ht="18" hidden="false" customHeight="true" outlineLevel="0" collapsed="false">
      <c r="A49" s="49" t="s">
        <v>297</v>
      </c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</row>
    <row r="50" customFormat="false" ht="15.75" hidden="false" customHeight="true" outlineLevel="0" collapsed="false">
      <c r="A50" s="50" t="n">
        <v>71</v>
      </c>
      <c r="B50" s="51" t="s">
        <v>238</v>
      </c>
      <c r="C50" s="52" t="s">
        <v>239</v>
      </c>
      <c r="D50" s="51" t="s">
        <v>31</v>
      </c>
      <c r="E50" s="51" t="s">
        <v>158</v>
      </c>
      <c r="F50" s="51" t="s">
        <v>33</v>
      </c>
      <c r="G50" s="53" t="n">
        <v>300</v>
      </c>
      <c r="H50" s="53" t="n">
        <v>1500</v>
      </c>
      <c r="I50" s="53" t="n">
        <v>20000</v>
      </c>
      <c r="J50" s="50" t="s">
        <v>141</v>
      </c>
      <c r="K50" s="50" t="n">
        <v>3</v>
      </c>
      <c r="L50" s="50" t="s">
        <v>64</v>
      </c>
      <c r="M50" s="53" t="n">
        <f aca="false">G50*12*20</f>
        <v>72000</v>
      </c>
      <c r="N50" s="50" t="n">
        <v>65</v>
      </c>
    </row>
    <row r="51" customFormat="false" ht="15.75" hidden="false" customHeight="true" outlineLevel="0" collapsed="false">
      <c r="A51" s="50" t="n">
        <v>72</v>
      </c>
      <c r="B51" s="51" t="s">
        <v>240</v>
      </c>
      <c r="C51" s="52" t="s">
        <v>239</v>
      </c>
      <c r="D51" s="51" t="s">
        <v>31</v>
      </c>
      <c r="E51" s="51" t="s">
        <v>241</v>
      </c>
      <c r="F51" s="51" t="s">
        <v>33</v>
      </c>
      <c r="G51" s="53" t="n">
        <v>500</v>
      </c>
      <c r="H51" s="53" t="n">
        <v>2500</v>
      </c>
      <c r="I51" s="53" t="n">
        <v>25000</v>
      </c>
      <c r="J51" s="50" t="s">
        <v>159</v>
      </c>
      <c r="K51" s="50" t="n">
        <v>3</v>
      </c>
      <c r="L51" s="50" t="s">
        <v>35</v>
      </c>
      <c r="M51" s="53" t="n">
        <f aca="false">G51*12*20</f>
        <v>120000</v>
      </c>
      <c r="N51" s="50" t="n">
        <v>75</v>
      </c>
    </row>
    <row r="52" customFormat="false" ht="15.75" hidden="false" customHeight="true" outlineLevel="0" collapsed="false">
      <c r="A52" s="50" t="n">
        <v>73</v>
      </c>
      <c r="B52" s="51" t="s">
        <v>242</v>
      </c>
      <c r="C52" s="52" t="s">
        <v>239</v>
      </c>
      <c r="D52" s="51" t="s">
        <v>31</v>
      </c>
      <c r="E52" s="51" t="s">
        <v>243</v>
      </c>
      <c r="F52" s="51" t="s">
        <v>33</v>
      </c>
      <c r="G52" s="53" t="n">
        <v>200</v>
      </c>
      <c r="H52" s="53" t="n">
        <v>1000</v>
      </c>
      <c r="I52" s="53" t="n">
        <v>15000</v>
      </c>
      <c r="J52" s="50" t="s">
        <v>164</v>
      </c>
      <c r="K52" s="50" t="n">
        <v>2</v>
      </c>
      <c r="L52" s="50" t="s">
        <v>35</v>
      </c>
      <c r="M52" s="53" t="n">
        <f aca="false">G52*12*20</f>
        <v>48000</v>
      </c>
      <c r="N52" s="50" t="n">
        <v>73</v>
      </c>
    </row>
    <row r="53" customFormat="false" ht="15.75" hidden="false" customHeight="true" outlineLevel="0" collapsed="false">
      <c r="A53" s="50" t="n">
        <v>74</v>
      </c>
      <c r="B53" s="51" t="s">
        <v>244</v>
      </c>
      <c r="C53" s="52" t="s">
        <v>239</v>
      </c>
      <c r="D53" s="51" t="s">
        <v>245</v>
      </c>
      <c r="E53" s="51" t="s">
        <v>246</v>
      </c>
      <c r="F53" s="51" t="s">
        <v>33</v>
      </c>
      <c r="G53" s="53" t="n">
        <v>500</v>
      </c>
      <c r="H53" s="53" t="n">
        <v>2500</v>
      </c>
      <c r="I53" s="53" t="n">
        <v>25000</v>
      </c>
      <c r="J53" s="50" t="s">
        <v>159</v>
      </c>
      <c r="K53" s="50" t="n">
        <v>3</v>
      </c>
      <c r="L53" s="50" t="s">
        <v>35</v>
      </c>
      <c r="M53" s="53" t="n">
        <f aca="false">G53*12*20</f>
        <v>120000</v>
      </c>
      <c r="N53" s="50" t="n">
        <v>74</v>
      </c>
    </row>
    <row r="54" customFormat="false" ht="15.75" hidden="false" customHeight="true" outlineLevel="0" collapsed="false">
      <c r="A54" s="50" t="n">
        <v>75</v>
      </c>
      <c r="B54" s="51" t="s">
        <v>247</v>
      </c>
      <c r="C54" s="52" t="s">
        <v>239</v>
      </c>
      <c r="D54" s="51" t="s">
        <v>245</v>
      </c>
      <c r="E54" s="51" t="s">
        <v>248</v>
      </c>
      <c r="F54" s="51" t="s">
        <v>33</v>
      </c>
      <c r="G54" s="53" t="n">
        <v>400</v>
      </c>
      <c r="H54" s="53" t="n">
        <v>2000</v>
      </c>
      <c r="I54" s="53" t="n">
        <v>25000</v>
      </c>
      <c r="J54" s="50" t="s">
        <v>159</v>
      </c>
      <c r="K54" s="50" t="n">
        <v>3</v>
      </c>
      <c r="L54" s="50" t="s">
        <v>35</v>
      </c>
      <c r="M54" s="53" t="n">
        <f aca="false">G54*12*20</f>
        <v>96000</v>
      </c>
      <c r="N54" s="50" t="n">
        <v>72</v>
      </c>
    </row>
    <row r="55" customFormat="false" ht="15.75" hidden="false" customHeight="true" outlineLevel="0" collapsed="false">
      <c r="A55" s="50" t="n">
        <v>76</v>
      </c>
      <c r="B55" s="51" t="s">
        <v>249</v>
      </c>
      <c r="C55" s="52" t="s">
        <v>239</v>
      </c>
      <c r="D55" s="51" t="s">
        <v>31</v>
      </c>
      <c r="E55" s="51" t="s">
        <v>250</v>
      </c>
      <c r="F55" s="51" t="s">
        <v>33</v>
      </c>
      <c r="G55" s="53" t="n">
        <v>200</v>
      </c>
      <c r="H55" s="53" t="n">
        <v>1000</v>
      </c>
      <c r="I55" s="53" t="n">
        <v>12000</v>
      </c>
      <c r="J55" s="50" t="s">
        <v>164</v>
      </c>
      <c r="K55" s="50" t="n">
        <v>2</v>
      </c>
      <c r="L55" s="50" t="s">
        <v>35</v>
      </c>
      <c r="M55" s="53" t="n">
        <f aca="false">G55*12*20</f>
        <v>48000</v>
      </c>
      <c r="N55" s="50" t="n">
        <v>70</v>
      </c>
    </row>
    <row r="56" customFormat="false" ht="15.75" hidden="false" customHeight="true" outlineLevel="0" collapsed="false">
      <c r="A56" s="50" t="n">
        <v>77</v>
      </c>
      <c r="B56" s="51" t="s">
        <v>251</v>
      </c>
      <c r="C56" s="52" t="s">
        <v>239</v>
      </c>
      <c r="D56" s="51" t="s">
        <v>31</v>
      </c>
      <c r="E56" s="51" t="s">
        <v>252</v>
      </c>
      <c r="F56" s="51" t="s">
        <v>253</v>
      </c>
      <c r="G56" s="53" t="n">
        <v>300</v>
      </c>
      <c r="H56" s="53" t="n">
        <v>1500</v>
      </c>
      <c r="I56" s="53" t="n">
        <v>20000</v>
      </c>
      <c r="J56" s="50" t="s">
        <v>141</v>
      </c>
      <c r="K56" s="50" t="n">
        <v>3</v>
      </c>
      <c r="L56" s="50" t="s">
        <v>64</v>
      </c>
      <c r="M56" s="53" t="n">
        <f aca="false">G56*12*20</f>
        <v>72000</v>
      </c>
      <c r="N56" s="50" t="n">
        <v>62</v>
      </c>
    </row>
    <row r="57" customFormat="false" ht="15.75" hidden="false" customHeight="true" outlineLevel="0" collapsed="false">
      <c r="A57" s="50" t="n">
        <v>78</v>
      </c>
      <c r="B57" s="51" t="s">
        <v>254</v>
      </c>
      <c r="C57" s="52" t="s">
        <v>239</v>
      </c>
      <c r="D57" s="51" t="s">
        <v>245</v>
      </c>
      <c r="E57" s="51" t="s">
        <v>255</v>
      </c>
      <c r="F57" s="51" t="s">
        <v>33</v>
      </c>
      <c r="G57" s="53" t="n">
        <v>500</v>
      </c>
      <c r="H57" s="53" t="n">
        <v>3000</v>
      </c>
      <c r="I57" s="53" t="n">
        <v>30000</v>
      </c>
      <c r="J57" s="50" t="s">
        <v>152</v>
      </c>
      <c r="K57" s="50" t="n">
        <v>4</v>
      </c>
      <c r="L57" s="50" t="s">
        <v>64</v>
      </c>
      <c r="M57" s="53" t="n">
        <f aca="false">G57*12*20</f>
        <v>120000</v>
      </c>
      <c r="N57" s="50" t="n">
        <v>65</v>
      </c>
    </row>
    <row r="58" customFormat="false" ht="15.75" hidden="false" customHeight="true" outlineLevel="0" collapsed="false">
      <c r="A58" s="50" t="n">
        <v>79</v>
      </c>
      <c r="B58" s="51" t="s">
        <v>256</v>
      </c>
      <c r="C58" s="52" t="s">
        <v>239</v>
      </c>
      <c r="D58" s="51" t="s">
        <v>31</v>
      </c>
      <c r="E58" s="51" t="s">
        <v>257</v>
      </c>
      <c r="F58" s="51" t="s">
        <v>33</v>
      </c>
      <c r="G58" s="53" t="n">
        <v>300</v>
      </c>
      <c r="H58" s="53" t="n">
        <v>1500</v>
      </c>
      <c r="I58" s="53" t="n">
        <v>20000</v>
      </c>
      <c r="J58" s="50" t="s">
        <v>159</v>
      </c>
      <c r="K58" s="50" t="n">
        <v>3</v>
      </c>
      <c r="L58" s="50" t="s">
        <v>64</v>
      </c>
      <c r="M58" s="53" t="n">
        <f aca="false">G58*12*20</f>
        <v>72000</v>
      </c>
      <c r="N58" s="50" t="n">
        <v>63</v>
      </c>
    </row>
    <row r="59" customFormat="false" ht="15.75" hidden="false" customHeight="true" outlineLevel="0" collapsed="false">
      <c r="A59" s="50" t="n">
        <v>80</v>
      </c>
      <c r="B59" s="51" t="s">
        <v>258</v>
      </c>
      <c r="C59" s="52" t="s">
        <v>239</v>
      </c>
      <c r="D59" s="51" t="s">
        <v>31</v>
      </c>
      <c r="E59" s="51" t="s">
        <v>259</v>
      </c>
      <c r="F59" s="51" t="s">
        <v>260</v>
      </c>
      <c r="G59" s="53" t="n">
        <v>500</v>
      </c>
      <c r="H59" s="53" t="n">
        <v>3000</v>
      </c>
      <c r="I59" s="53" t="n">
        <v>20000</v>
      </c>
      <c r="J59" s="50" t="s">
        <v>141</v>
      </c>
      <c r="K59" s="50" t="n">
        <v>3</v>
      </c>
      <c r="L59" s="50" t="s">
        <v>35</v>
      </c>
      <c r="M59" s="53" t="n">
        <f aca="false">G59*12*20</f>
        <v>120000</v>
      </c>
      <c r="N59" s="50" t="n">
        <v>77</v>
      </c>
    </row>
    <row r="60" customFormat="false" ht="18" hidden="false" customHeight="true" outlineLevel="0" collapsed="false">
      <c r="A60" s="54" t="s">
        <v>298</v>
      </c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</row>
    <row r="61" customFormat="false" ht="15.75" hidden="false" customHeight="true" outlineLevel="0" collapsed="false">
      <c r="A61" s="55" t="n">
        <v>81</v>
      </c>
      <c r="B61" s="56" t="s">
        <v>261</v>
      </c>
      <c r="C61" s="57" t="s">
        <v>262</v>
      </c>
      <c r="D61" s="56" t="s">
        <v>31</v>
      </c>
      <c r="E61" s="56" t="s">
        <v>162</v>
      </c>
      <c r="F61" s="56" t="s">
        <v>171</v>
      </c>
      <c r="G61" s="58" t="n">
        <v>300</v>
      </c>
      <c r="H61" s="58" t="n">
        <v>1500</v>
      </c>
      <c r="I61" s="58" t="n">
        <v>15000</v>
      </c>
      <c r="J61" s="55" t="s">
        <v>164</v>
      </c>
      <c r="K61" s="55" t="n">
        <v>2</v>
      </c>
      <c r="L61" s="55" t="s">
        <v>35</v>
      </c>
      <c r="M61" s="58" t="n">
        <f aca="false">G61*12*20</f>
        <v>72000</v>
      </c>
      <c r="N61" s="55" t="n">
        <v>73</v>
      </c>
    </row>
    <row r="62" customFormat="false" ht="15.75" hidden="false" customHeight="true" outlineLevel="0" collapsed="false">
      <c r="A62" s="55" t="n">
        <v>82</v>
      </c>
      <c r="B62" s="56" t="s">
        <v>263</v>
      </c>
      <c r="C62" s="57" t="s">
        <v>262</v>
      </c>
      <c r="D62" s="56" t="s">
        <v>245</v>
      </c>
      <c r="E62" s="56" t="s">
        <v>264</v>
      </c>
      <c r="F62" s="56" t="s">
        <v>265</v>
      </c>
      <c r="G62" s="58" t="n">
        <v>200</v>
      </c>
      <c r="H62" s="58" t="n">
        <v>1000</v>
      </c>
      <c r="I62" s="58" t="n">
        <v>12000</v>
      </c>
      <c r="J62" s="55" t="s">
        <v>164</v>
      </c>
      <c r="K62" s="55" t="n">
        <v>2</v>
      </c>
      <c r="L62" s="55" t="s">
        <v>64</v>
      </c>
      <c r="M62" s="58" t="n">
        <f aca="false">G62*12*20</f>
        <v>48000</v>
      </c>
      <c r="N62" s="55" t="n">
        <v>67</v>
      </c>
    </row>
    <row r="63" customFormat="false" ht="15.75" hidden="false" customHeight="true" outlineLevel="0" collapsed="false">
      <c r="A63" s="55" t="n">
        <v>83</v>
      </c>
      <c r="B63" s="56" t="s">
        <v>266</v>
      </c>
      <c r="C63" s="57" t="s">
        <v>262</v>
      </c>
      <c r="D63" s="56" t="s">
        <v>267</v>
      </c>
      <c r="E63" s="56" t="s">
        <v>268</v>
      </c>
      <c r="F63" s="56" t="s">
        <v>269</v>
      </c>
      <c r="G63" s="58" t="n">
        <v>500</v>
      </c>
      <c r="H63" s="58" t="n">
        <v>3000</v>
      </c>
      <c r="I63" s="58" t="n">
        <v>15000</v>
      </c>
      <c r="J63" s="55" t="s">
        <v>164</v>
      </c>
      <c r="K63" s="55" t="n">
        <v>2</v>
      </c>
      <c r="L63" s="55" t="s">
        <v>35</v>
      </c>
      <c r="M63" s="58" t="n">
        <f aca="false">G63*12*20</f>
        <v>120000</v>
      </c>
      <c r="N63" s="55" t="n">
        <v>75</v>
      </c>
    </row>
    <row r="64" customFormat="false" ht="15.75" hidden="false" customHeight="true" outlineLevel="0" collapsed="false">
      <c r="A64" s="55" t="n">
        <v>84</v>
      </c>
      <c r="B64" s="56" t="s">
        <v>270</v>
      </c>
      <c r="C64" s="57" t="s">
        <v>262</v>
      </c>
      <c r="D64" s="56" t="s">
        <v>245</v>
      </c>
      <c r="E64" s="56" t="s">
        <v>246</v>
      </c>
      <c r="F64" s="56" t="s">
        <v>171</v>
      </c>
      <c r="G64" s="58" t="n">
        <v>300</v>
      </c>
      <c r="H64" s="58" t="n">
        <v>1500</v>
      </c>
      <c r="I64" s="58" t="n">
        <v>15000</v>
      </c>
      <c r="J64" s="55" t="s">
        <v>164</v>
      </c>
      <c r="K64" s="55" t="n">
        <v>2</v>
      </c>
      <c r="L64" s="55" t="s">
        <v>35</v>
      </c>
      <c r="M64" s="58" t="n">
        <f aca="false">G64*12*20</f>
        <v>72000</v>
      </c>
      <c r="N64" s="55" t="n">
        <v>72</v>
      </c>
    </row>
    <row r="65" customFormat="false" ht="15.75" hidden="false" customHeight="true" outlineLevel="0" collapsed="false">
      <c r="A65" s="55" t="n">
        <v>85</v>
      </c>
      <c r="B65" s="56" t="s">
        <v>271</v>
      </c>
      <c r="C65" s="57" t="s">
        <v>262</v>
      </c>
      <c r="D65" s="56" t="s">
        <v>169</v>
      </c>
      <c r="E65" s="56" t="s">
        <v>272</v>
      </c>
      <c r="F65" s="56" t="s">
        <v>145</v>
      </c>
      <c r="G65" s="58" t="n">
        <v>500</v>
      </c>
      <c r="H65" s="58" t="n">
        <v>3000</v>
      </c>
      <c r="I65" s="58" t="n">
        <v>20000</v>
      </c>
      <c r="J65" s="55" t="s">
        <v>164</v>
      </c>
      <c r="K65" s="55" t="n">
        <v>2</v>
      </c>
      <c r="L65" s="55" t="s">
        <v>35</v>
      </c>
      <c r="M65" s="58" t="n">
        <f aca="false">G65*12*20</f>
        <v>120000</v>
      </c>
      <c r="N65" s="55" t="n">
        <v>77</v>
      </c>
    </row>
    <row r="66" customFormat="false" ht="15.75" hidden="false" customHeight="true" outlineLevel="0" collapsed="false">
      <c r="A66" s="55" t="n">
        <v>86</v>
      </c>
      <c r="B66" s="56" t="s">
        <v>273</v>
      </c>
      <c r="C66" s="57" t="s">
        <v>262</v>
      </c>
      <c r="D66" s="56" t="s">
        <v>31</v>
      </c>
      <c r="E66" s="56" t="s">
        <v>274</v>
      </c>
      <c r="F66" s="56" t="s">
        <v>33</v>
      </c>
      <c r="G66" s="58" t="n">
        <v>100</v>
      </c>
      <c r="H66" s="58" t="n">
        <v>500</v>
      </c>
      <c r="I66" s="58" t="n">
        <v>8000</v>
      </c>
      <c r="J66" s="55" t="s">
        <v>146</v>
      </c>
      <c r="K66" s="55" t="n">
        <v>1</v>
      </c>
      <c r="L66" s="55" t="s">
        <v>35</v>
      </c>
      <c r="M66" s="58" t="n">
        <f aca="false">G66*12*20</f>
        <v>24000</v>
      </c>
      <c r="N66" s="55" t="n">
        <v>74</v>
      </c>
    </row>
    <row r="67" customFormat="false" ht="15.75" hidden="false" customHeight="true" outlineLevel="0" collapsed="false">
      <c r="A67" s="55" t="n">
        <v>87</v>
      </c>
      <c r="B67" s="56" t="s">
        <v>275</v>
      </c>
      <c r="C67" s="57" t="s">
        <v>262</v>
      </c>
      <c r="D67" s="56" t="s">
        <v>276</v>
      </c>
      <c r="E67" s="56" t="s">
        <v>162</v>
      </c>
      <c r="F67" s="56" t="s">
        <v>171</v>
      </c>
      <c r="G67" s="58" t="n">
        <v>300</v>
      </c>
      <c r="H67" s="58" t="n">
        <v>2000</v>
      </c>
      <c r="I67" s="58" t="n">
        <v>25000</v>
      </c>
      <c r="J67" s="55" t="s">
        <v>159</v>
      </c>
      <c r="K67" s="55" t="n">
        <v>3</v>
      </c>
      <c r="L67" s="55" t="s">
        <v>64</v>
      </c>
      <c r="M67" s="58" t="n">
        <f aca="false">G67*12*20</f>
        <v>72000</v>
      </c>
      <c r="N67" s="55" t="n">
        <v>65</v>
      </c>
    </row>
    <row r="68" customFormat="false" ht="15.75" hidden="false" customHeight="true" outlineLevel="0" collapsed="false">
      <c r="A68" s="55" t="n">
        <v>88</v>
      </c>
      <c r="B68" s="56" t="s">
        <v>277</v>
      </c>
      <c r="C68" s="57" t="s">
        <v>262</v>
      </c>
      <c r="D68" s="56" t="s">
        <v>245</v>
      </c>
      <c r="E68" s="56" t="s">
        <v>257</v>
      </c>
      <c r="F68" s="56" t="s">
        <v>278</v>
      </c>
      <c r="G68" s="58" t="n">
        <v>300</v>
      </c>
      <c r="H68" s="58" t="n">
        <v>1500</v>
      </c>
      <c r="I68" s="58" t="n">
        <v>20000</v>
      </c>
      <c r="J68" s="55" t="s">
        <v>141</v>
      </c>
      <c r="K68" s="55" t="n">
        <v>3</v>
      </c>
      <c r="L68" s="55" t="s">
        <v>35</v>
      </c>
      <c r="M68" s="58" t="n">
        <f aca="false">G68*12*20</f>
        <v>72000</v>
      </c>
      <c r="N68" s="55" t="n">
        <v>72</v>
      </c>
    </row>
    <row r="69" customFormat="false" ht="15.75" hidden="false" customHeight="true" outlineLevel="0" collapsed="false">
      <c r="A69" s="55" t="n">
        <v>89</v>
      </c>
      <c r="B69" s="56" t="s">
        <v>279</v>
      </c>
      <c r="C69" s="57" t="s">
        <v>262</v>
      </c>
      <c r="D69" s="56" t="s">
        <v>245</v>
      </c>
      <c r="E69" s="56" t="s">
        <v>268</v>
      </c>
      <c r="F69" s="56" t="s">
        <v>33</v>
      </c>
      <c r="G69" s="58" t="n">
        <v>400</v>
      </c>
      <c r="H69" s="58" t="n">
        <v>2000</v>
      </c>
      <c r="I69" s="58" t="n">
        <v>20000</v>
      </c>
      <c r="J69" s="55" t="s">
        <v>141</v>
      </c>
      <c r="K69" s="55" t="n">
        <v>3</v>
      </c>
      <c r="L69" s="55" t="s">
        <v>64</v>
      </c>
      <c r="M69" s="58" t="n">
        <f aca="false">G69*12*20</f>
        <v>96000</v>
      </c>
      <c r="N69" s="55" t="n">
        <v>67</v>
      </c>
    </row>
    <row r="70" customFormat="false" ht="15.75" hidden="false" customHeight="true" outlineLevel="0" collapsed="false">
      <c r="A70" s="55" t="n">
        <v>90</v>
      </c>
      <c r="B70" s="56" t="s">
        <v>280</v>
      </c>
      <c r="C70" s="57" t="s">
        <v>262</v>
      </c>
      <c r="D70" s="56" t="s">
        <v>31</v>
      </c>
      <c r="E70" s="56" t="s">
        <v>281</v>
      </c>
      <c r="F70" s="56" t="s">
        <v>33</v>
      </c>
      <c r="G70" s="58" t="n">
        <v>400</v>
      </c>
      <c r="H70" s="58" t="n">
        <v>2000</v>
      </c>
      <c r="I70" s="58" t="n">
        <v>25000</v>
      </c>
      <c r="J70" s="55" t="s">
        <v>141</v>
      </c>
      <c r="K70" s="55" t="n">
        <v>3</v>
      </c>
      <c r="L70" s="55" t="s">
        <v>22</v>
      </c>
      <c r="M70" s="58" t="n">
        <f aca="false">G70*12*20</f>
        <v>96000</v>
      </c>
      <c r="N70" s="55" t="n">
        <v>80</v>
      </c>
    </row>
    <row r="71" customFormat="false" ht="18" hidden="false" customHeight="true" outlineLevel="0" collapsed="false">
      <c r="A71" s="59" t="s">
        <v>282</v>
      </c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1" t="n">
        <f aca="false">SUM(M5:M70)</f>
        <v>5580000</v>
      </c>
      <c r="N71" s="62" t="n">
        <f aca="false">AVERAGE(N5:N70)</f>
        <v>73.1166666666667</v>
      </c>
    </row>
  </sheetData>
  <autoFilter ref="A4:N71"/>
  <mergeCells count="9">
    <mergeCell ref="A1:N1"/>
    <mergeCell ref="A2:N2"/>
    <mergeCell ref="A3:N3"/>
    <mergeCell ref="A5:N5"/>
    <mergeCell ref="A16:N16"/>
    <mergeCell ref="A27:N27"/>
    <mergeCell ref="A38:N38"/>
    <mergeCell ref="A49:N49"/>
    <mergeCell ref="A60:N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15" min="2" style="1" width="10"/>
  </cols>
  <sheetData>
    <row r="1" customFormat="false" ht="31.5" hidden="false" customHeight="true" outlineLevel="0" collapsed="false">
      <c r="A1" s="63" t="s">
        <v>299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</row>
    <row r="2" customFormat="false" ht="15" hidden="false" customHeight="true" outlineLevel="0" collapsed="false">
      <c r="A2" s="64"/>
      <c r="B2" s="4" t="s">
        <v>300</v>
      </c>
      <c r="C2" s="4" t="s">
        <v>301</v>
      </c>
      <c r="D2" s="4" t="s">
        <v>302</v>
      </c>
      <c r="E2" s="4" t="s">
        <v>303</v>
      </c>
      <c r="F2" s="4" t="s">
        <v>304</v>
      </c>
      <c r="G2" s="4" t="s">
        <v>305</v>
      </c>
      <c r="H2" s="4" t="s">
        <v>306</v>
      </c>
      <c r="I2" s="4" t="s">
        <v>307</v>
      </c>
      <c r="J2" s="4" t="s">
        <v>308</v>
      </c>
      <c r="K2" s="4" t="s">
        <v>309</v>
      </c>
      <c r="L2" s="4" t="s">
        <v>310</v>
      </c>
      <c r="M2" s="4" t="s">
        <v>311</v>
      </c>
      <c r="N2" s="4" t="s">
        <v>312</v>
      </c>
    </row>
    <row r="3" customFormat="false" ht="15" hidden="false" customHeight="true" outlineLevel="0" collapsed="false">
      <c r="A3" s="65" t="s">
        <v>313</v>
      </c>
      <c r="B3" s="66" t="n">
        <v>0</v>
      </c>
      <c r="C3" s="66" t="n">
        <v>0</v>
      </c>
      <c r="D3" s="66" t="n">
        <v>2</v>
      </c>
      <c r="E3" s="66" t="n">
        <v>4</v>
      </c>
      <c r="F3" s="66" t="n">
        <v>6</v>
      </c>
      <c r="G3" s="66" t="n">
        <v>8</v>
      </c>
      <c r="H3" s="66" t="n">
        <v>10</v>
      </c>
      <c r="I3" s="66" t="n">
        <v>12</v>
      </c>
      <c r="J3" s="66" t="n">
        <v>15</v>
      </c>
      <c r="K3" s="66" t="n">
        <v>18</v>
      </c>
      <c r="L3" s="66" t="n">
        <v>20</v>
      </c>
      <c r="M3" s="66" t="n">
        <v>22</v>
      </c>
      <c r="O3" s="67" t="n">
        <f aca="false">SUM(B3:M3)</f>
        <v>117</v>
      </c>
    </row>
    <row r="4" customFormat="false" ht="15" hidden="false" customHeight="true" outlineLevel="0" collapsed="false">
      <c r="A4" s="68" t="s">
        <v>314</v>
      </c>
      <c r="B4" s="69" t="n">
        <v>0</v>
      </c>
      <c r="C4" s="69" t="n">
        <v>0</v>
      </c>
      <c r="D4" s="69" t="n">
        <v>2000</v>
      </c>
      <c r="E4" s="69" t="n">
        <v>4000</v>
      </c>
      <c r="F4" s="69" t="n">
        <v>6000</v>
      </c>
      <c r="G4" s="69" t="n">
        <v>8000</v>
      </c>
      <c r="H4" s="69" t="n">
        <v>10000</v>
      </c>
      <c r="I4" s="69" t="n">
        <v>12000</v>
      </c>
      <c r="J4" s="69" t="n">
        <v>15000</v>
      </c>
      <c r="K4" s="69" t="n">
        <v>18000</v>
      </c>
      <c r="L4" s="69" t="n">
        <v>20000</v>
      </c>
      <c r="M4" s="69" t="n">
        <v>22000</v>
      </c>
      <c r="O4" s="70" t="n">
        <f aca="false">SUM(B4:M4)</f>
        <v>117000</v>
      </c>
    </row>
    <row r="5" customFormat="false" ht="15" hidden="false" customHeight="true" outlineLevel="0" collapsed="false">
      <c r="A5" s="65" t="s">
        <v>315</v>
      </c>
      <c r="B5" s="66" t="n">
        <v>0</v>
      </c>
      <c r="C5" s="66" t="n">
        <v>1</v>
      </c>
      <c r="D5" s="66" t="n">
        <v>2</v>
      </c>
      <c r="E5" s="66" t="n">
        <v>4</v>
      </c>
      <c r="F5" s="66" t="n">
        <v>6</v>
      </c>
      <c r="G5" s="66" t="n">
        <v>8</v>
      </c>
      <c r="H5" s="66" t="n">
        <v>10</v>
      </c>
      <c r="I5" s="66" t="n">
        <v>12</v>
      </c>
      <c r="J5" s="66" t="n">
        <v>15</v>
      </c>
      <c r="K5" s="66" t="n">
        <v>18</v>
      </c>
      <c r="L5" s="66" t="n">
        <v>20</v>
      </c>
      <c r="M5" s="66" t="n">
        <v>25</v>
      </c>
      <c r="O5" s="67" t="n">
        <f aca="false">SUM(B5:M5)</f>
        <v>121</v>
      </c>
    </row>
    <row r="6" customFormat="false" ht="15" hidden="false" customHeight="true" outlineLevel="0" collapsed="false">
      <c r="A6" s="68" t="s">
        <v>316</v>
      </c>
      <c r="B6" s="69" t="n">
        <v>0</v>
      </c>
      <c r="C6" s="69" t="n">
        <v>3000</v>
      </c>
      <c r="D6" s="69" t="n">
        <v>6000</v>
      </c>
      <c r="E6" s="69" t="n">
        <v>12000</v>
      </c>
      <c r="F6" s="69" t="n">
        <v>18000</v>
      </c>
      <c r="G6" s="69" t="n">
        <v>24000</v>
      </c>
      <c r="H6" s="69" t="n">
        <v>30000</v>
      </c>
      <c r="I6" s="69" t="n">
        <v>36000</v>
      </c>
      <c r="J6" s="69" t="n">
        <v>45000</v>
      </c>
      <c r="K6" s="69" t="n">
        <v>54000</v>
      </c>
      <c r="L6" s="69" t="n">
        <v>60000</v>
      </c>
      <c r="M6" s="69" t="n">
        <v>75000</v>
      </c>
      <c r="O6" s="70" t="n">
        <f aca="false">SUM(B6:M6)</f>
        <v>363000</v>
      </c>
    </row>
    <row r="7" customFormat="false" ht="15" hidden="false" customHeight="true" outlineLevel="0" collapsed="false">
      <c r="A7" s="65" t="s">
        <v>317</v>
      </c>
      <c r="B7" s="66" t="n">
        <v>0</v>
      </c>
      <c r="C7" s="66" t="n">
        <v>0</v>
      </c>
      <c r="D7" s="66" t="n">
        <v>1</v>
      </c>
      <c r="E7" s="66" t="n">
        <v>2</v>
      </c>
      <c r="F7" s="66" t="n">
        <v>4</v>
      </c>
      <c r="G7" s="66" t="n">
        <v>6</v>
      </c>
      <c r="H7" s="66" t="n">
        <v>8</v>
      </c>
      <c r="I7" s="66" t="n">
        <v>10</v>
      </c>
      <c r="J7" s="66" t="n">
        <v>12</v>
      </c>
      <c r="K7" s="66" t="n">
        <v>15</v>
      </c>
      <c r="L7" s="66" t="n">
        <v>18</v>
      </c>
      <c r="M7" s="66" t="n">
        <v>20</v>
      </c>
      <c r="O7" s="67" t="n">
        <f aca="false">SUM(B7:M7)</f>
        <v>96</v>
      </c>
    </row>
    <row r="8" customFormat="false" ht="15" hidden="false" customHeight="true" outlineLevel="0" collapsed="false">
      <c r="A8" s="68" t="s">
        <v>318</v>
      </c>
      <c r="B8" s="69" t="n">
        <v>0</v>
      </c>
      <c r="C8" s="69" t="n">
        <v>0</v>
      </c>
      <c r="D8" s="69" t="n">
        <v>2300</v>
      </c>
      <c r="E8" s="69" t="n">
        <v>4600</v>
      </c>
      <c r="F8" s="69" t="n">
        <v>9200</v>
      </c>
      <c r="G8" s="69" t="n">
        <v>13800</v>
      </c>
      <c r="H8" s="69" t="n">
        <v>18400</v>
      </c>
      <c r="I8" s="69" t="n">
        <v>23000</v>
      </c>
      <c r="J8" s="69" t="n">
        <v>27600</v>
      </c>
      <c r="K8" s="69" t="n">
        <v>34500</v>
      </c>
      <c r="L8" s="69" t="n">
        <v>41400</v>
      </c>
      <c r="M8" s="69" t="n">
        <v>46000</v>
      </c>
      <c r="O8" s="70" t="n">
        <f aca="false">SUM(B8:M8)</f>
        <v>220800</v>
      </c>
    </row>
    <row r="9" customFormat="false" ht="15" hidden="false" customHeight="true" outlineLevel="0" collapsed="false">
      <c r="A9" s="65" t="s">
        <v>319</v>
      </c>
      <c r="B9" s="66" t="n">
        <v>0</v>
      </c>
      <c r="C9" s="66" t="n">
        <v>0</v>
      </c>
      <c r="D9" s="66" t="n">
        <v>5</v>
      </c>
      <c r="E9" s="66" t="n">
        <v>15</v>
      </c>
      <c r="F9" s="66" t="n">
        <v>30</v>
      </c>
      <c r="G9" s="66" t="n">
        <v>50</v>
      </c>
      <c r="H9" s="66" t="n">
        <v>70</v>
      </c>
      <c r="I9" s="66" t="n">
        <v>85</v>
      </c>
      <c r="J9" s="66" t="n">
        <v>95</v>
      </c>
      <c r="K9" s="66" t="n">
        <v>100</v>
      </c>
      <c r="L9" s="66" t="n">
        <v>100</v>
      </c>
      <c r="M9" s="66" t="n">
        <v>100</v>
      </c>
      <c r="O9" s="67" t="n">
        <f aca="false">SUM(B9:M9)</f>
        <v>650</v>
      </c>
    </row>
    <row r="10" customFormat="false" ht="15" hidden="false" customHeight="true" outlineLevel="0" collapsed="false">
      <c r="A10" s="68" t="s">
        <v>320</v>
      </c>
      <c r="B10" s="69" t="n">
        <v>0</v>
      </c>
      <c r="C10" s="69" t="n">
        <v>0</v>
      </c>
      <c r="D10" s="69" t="n">
        <v>500</v>
      </c>
      <c r="E10" s="69" t="n">
        <v>1500</v>
      </c>
      <c r="F10" s="69" t="n">
        <v>3000</v>
      </c>
      <c r="G10" s="69" t="n">
        <v>5000</v>
      </c>
      <c r="H10" s="69" t="n">
        <v>7000</v>
      </c>
      <c r="I10" s="69" t="n">
        <v>8500</v>
      </c>
      <c r="J10" s="69" t="n">
        <v>9500</v>
      </c>
      <c r="K10" s="69" t="n">
        <v>10000</v>
      </c>
      <c r="L10" s="69" t="n">
        <v>10000</v>
      </c>
      <c r="M10" s="69" t="n">
        <v>10000</v>
      </c>
      <c r="O10" s="70" t="n">
        <f aca="false">SUM(B10:M10)</f>
        <v>65000</v>
      </c>
    </row>
    <row r="11" customFormat="false" ht="15" hidden="false" customHeight="true" outlineLevel="0" collapsed="false">
      <c r="A11" s="65" t="s">
        <v>321</v>
      </c>
      <c r="B11" s="66" t="n">
        <v>0</v>
      </c>
      <c r="C11" s="66" t="n">
        <v>1</v>
      </c>
      <c r="D11" s="66" t="n">
        <v>1</v>
      </c>
      <c r="E11" s="66" t="n">
        <v>2</v>
      </c>
      <c r="F11" s="66" t="n">
        <v>3</v>
      </c>
      <c r="G11" s="66" t="n">
        <v>4</v>
      </c>
      <c r="H11" s="66" t="n">
        <v>5</v>
      </c>
      <c r="I11" s="66" t="n">
        <v>6</v>
      </c>
      <c r="J11" s="66" t="n">
        <v>7</v>
      </c>
      <c r="K11" s="66" t="n">
        <v>8</v>
      </c>
      <c r="L11" s="66" t="n">
        <v>9</v>
      </c>
      <c r="M11" s="66" t="n">
        <v>10</v>
      </c>
      <c r="O11" s="67" t="n">
        <f aca="false">SUM(B11:M11)</f>
        <v>56</v>
      </c>
    </row>
    <row r="12" customFormat="false" ht="15" hidden="false" customHeight="true" outlineLevel="0" collapsed="false">
      <c r="A12" s="68" t="s">
        <v>322</v>
      </c>
      <c r="B12" s="69" t="n">
        <v>0</v>
      </c>
      <c r="C12" s="69" t="n">
        <v>3000</v>
      </c>
      <c r="D12" s="69" t="n">
        <v>3000</v>
      </c>
      <c r="E12" s="69" t="n">
        <v>6000</v>
      </c>
      <c r="F12" s="69" t="n">
        <v>9000</v>
      </c>
      <c r="G12" s="69" t="n">
        <v>12000</v>
      </c>
      <c r="H12" s="69" t="n">
        <v>15000</v>
      </c>
      <c r="I12" s="69" t="n">
        <v>18000</v>
      </c>
      <c r="J12" s="69" t="n">
        <v>21000</v>
      </c>
      <c r="K12" s="69" t="n">
        <v>24000</v>
      </c>
      <c r="L12" s="69" t="n">
        <v>27000</v>
      </c>
      <c r="M12" s="69" t="n">
        <v>30000</v>
      </c>
      <c r="O12" s="70" t="n">
        <f aca="false">SUM(B12:M12)</f>
        <v>168000</v>
      </c>
    </row>
    <row r="13" customFormat="false" ht="15" hidden="false" customHeight="true" outlineLevel="0" collapsed="false">
      <c r="A13" s="71" t="s">
        <v>323</v>
      </c>
      <c r="B13" s="72" t="n">
        <f aca="false">B4+B6+B8+B10+B12</f>
        <v>0</v>
      </c>
      <c r="C13" s="72" t="n">
        <f aca="false">C4+C6+C8+C10+C12</f>
        <v>6000</v>
      </c>
      <c r="D13" s="72" t="n">
        <f aca="false">D4+D6+D8+D10+D12</f>
        <v>13800</v>
      </c>
      <c r="E13" s="72" t="n">
        <f aca="false">E4+E6+E8+E10+E12</f>
        <v>28100</v>
      </c>
      <c r="F13" s="72" t="n">
        <f aca="false">F4+F6+F8+F10+F12</f>
        <v>45200</v>
      </c>
      <c r="G13" s="72" t="n">
        <f aca="false">G4+G6+G8+G10+G12</f>
        <v>62800</v>
      </c>
      <c r="H13" s="72" t="n">
        <f aca="false">H4+H6+H8+H10+H12</f>
        <v>80400</v>
      </c>
      <c r="I13" s="72" t="n">
        <f aca="false">I4+I6+I8+I10+I12</f>
        <v>97500</v>
      </c>
      <c r="J13" s="72" t="n">
        <f aca="false">J4+J6+J8+J10+J12</f>
        <v>118100</v>
      </c>
      <c r="K13" s="72" t="n">
        <f aca="false">K4+K6+K8+K10+K12</f>
        <v>140500</v>
      </c>
      <c r="L13" s="72" t="n">
        <f aca="false">L4+L6+L8+L10+L12</f>
        <v>158400</v>
      </c>
      <c r="M13" s="72" t="n">
        <f aca="false">M4+M6+M8+M10+M12</f>
        <v>183000</v>
      </c>
      <c r="N13" s="72" t="n">
        <f aca="false">N4+N6+N8+N10+N12</f>
        <v>0</v>
      </c>
      <c r="O13" s="72" t="n">
        <f aca="false">O4+O6+O8+O10+O12</f>
        <v>933800</v>
      </c>
    </row>
    <row r="15" customFormat="false" ht="24" hidden="false" customHeight="true" outlineLevel="0" collapsed="false">
      <c r="A15" s="73" t="s">
        <v>324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</row>
    <row r="16" customFormat="false" ht="19.5" hidden="false" customHeight="true" outlineLevel="0" collapsed="false">
      <c r="A16" s="74"/>
      <c r="B16" s="74" t="s">
        <v>300</v>
      </c>
      <c r="C16" s="74" t="s">
        <v>301</v>
      </c>
      <c r="D16" s="74" t="s">
        <v>302</v>
      </c>
      <c r="E16" s="74" t="s">
        <v>303</v>
      </c>
      <c r="F16" s="74" t="s">
        <v>304</v>
      </c>
      <c r="G16" s="74" t="s">
        <v>305</v>
      </c>
      <c r="H16" s="74" t="s">
        <v>306</v>
      </c>
      <c r="I16" s="74" t="s">
        <v>307</v>
      </c>
      <c r="J16" s="74" t="s">
        <v>308</v>
      </c>
      <c r="K16" s="74" t="s">
        <v>309</v>
      </c>
      <c r="L16" s="74" t="s">
        <v>310</v>
      </c>
      <c r="M16" s="74" t="s">
        <v>311</v>
      </c>
      <c r="N16" s="74" t="s">
        <v>312</v>
      </c>
    </row>
    <row r="17" customFormat="false" ht="18" hidden="false" customHeight="true" outlineLevel="0" collapsed="false">
      <c r="A17" s="75" t="s">
        <v>325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</row>
    <row r="18" customFormat="false" ht="15" hidden="false" customHeight="false" outlineLevel="0" collapsed="false">
      <c r="A18" s="76" t="s">
        <v>326</v>
      </c>
      <c r="B18" s="76" t="n">
        <v>0</v>
      </c>
      <c r="C18" s="76" t="n">
        <v>50</v>
      </c>
      <c r="D18" s="76" t="n">
        <v>100</v>
      </c>
      <c r="E18" s="76" t="n">
        <v>200</v>
      </c>
      <c r="F18" s="76" t="n">
        <v>350</v>
      </c>
      <c r="G18" s="76" t="n">
        <v>500</v>
      </c>
      <c r="H18" s="76" t="n">
        <v>700</v>
      </c>
      <c r="I18" s="76" t="n">
        <v>900</v>
      </c>
      <c r="J18" s="76" t="n">
        <v>1100</v>
      </c>
      <c r="K18" s="76" t="n">
        <v>1300</v>
      </c>
      <c r="L18" s="76" t="n">
        <v>1500</v>
      </c>
      <c r="M18" s="76" t="n">
        <v>1700</v>
      </c>
      <c r="N18" s="77" t="n">
        <f aca="false">SUM(B18:M18)</f>
        <v>8400</v>
      </c>
    </row>
    <row r="19" customFormat="false" ht="15" hidden="false" customHeight="false" outlineLevel="0" collapsed="false">
      <c r="A19" s="78" t="s">
        <v>327</v>
      </c>
      <c r="B19" s="78" t="n">
        <v>0</v>
      </c>
      <c r="C19" s="78" t="n">
        <v>5000</v>
      </c>
      <c r="D19" s="78" t="n">
        <v>10000</v>
      </c>
      <c r="E19" s="78" t="n">
        <v>20000</v>
      </c>
      <c r="F19" s="78" t="n">
        <v>35000</v>
      </c>
      <c r="G19" s="78" t="n">
        <v>50000</v>
      </c>
      <c r="H19" s="78" t="n">
        <v>70000</v>
      </c>
      <c r="I19" s="78" t="n">
        <v>90000</v>
      </c>
      <c r="J19" s="78" t="n">
        <v>110000</v>
      </c>
      <c r="K19" s="78" t="n">
        <v>130000</v>
      </c>
      <c r="L19" s="78" t="n">
        <v>150000</v>
      </c>
      <c r="M19" s="78" t="n">
        <v>170000</v>
      </c>
      <c r="N19" s="78" t="n">
        <f aca="false">SUM(B19:M19)</f>
        <v>840000</v>
      </c>
    </row>
    <row r="20" customFormat="false" ht="15" hidden="false" customHeight="false" outlineLevel="0" collapsed="false">
      <c r="A20" s="76" t="s">
        <v>328</v>
      </c>
      <c r="B20" s="76" t="n">
        <v>0</v>
      </c>
      <c r="C20" s="76" t="n">
        <v>0</v>
      </c>
      <c r="D20" s="76" t="n">
        <v>2</v>
      </c>
      <c r="E20" s="76" t="n">
        <v>5</v>
      </c>
      <c r="F20" s="76" t="n">
        <v>10</v>
      </c>
      <c r="G20" s="76" t="n">
        <v>18</v>
      </c>
      <c r="H20" s="76" t="n">
        <v>28</v>
      </c>
      <c r="I20" s="76" t="n">
        <v>38</v>
      </c>
      <c r="J20" s="76" t="n">
        <v>50</v>
      </c>
      <c r="K20" s="76" t="n">
        <v>62</v>
      </c>
      <c r="L20" s="76" t="n">
        <v>75</v>
      </c>
      <c r="M20" s="76" t="n">
        <v>90</v>
      </c>
      <c r="N20" s="77" t="n">
        <f aca="false">SUM(B20:M20)</f>
        <v>378</v>
      </c>
    </row>
    <row r="21" customFormat="false" ht="15" hidden="false" customHeight="false" outlineLevel="0" collapsed="false">
      <c r="A21" s="78" t="s">
        <v>329</v>
      </c>
      <c r="B21" s="78" t="n">
        <v>0</v>
      </c>
      <c r="C21" s="78" t="n">
        <v>0</v>
      </c>
      <c r="D21" s="78" t="n">
        <v>600</v>
      </c>
      <c r="E21" s="78" t="n">
        <v>1500</v>
      </c>
      <c r="F21" s="78" t="n">
        <v>3000</v>
      </c>
      <c r="G21" s="78" t="n">
        <v>5400</v>
      </c>
      <c r="H21" s="78" t="n">
        <v>8400</v>
      </c>
      <c r="I21" s="78" t="n">
        <v>11400</v>
      </c>
      <c r="J21" s="78" t="n">
        <v>15000</v>
      </c>
      <c r="K21" s="78" t="n">
        <v>18600</v>
      </c>
      <c r="L21" s="78" t="n">
        <v>22500</v>
      </c>
      <c r="M21" s="78" t="n">
        <v>27000</v>
      </c>
      <c r="N21" s="78" t="n">
        <f aca="false">SUM(B21:M21)</f>
        <v>113400</v>
      </c>
    </row>
    <row r="22" customFormat="false" ht="15" hidden="false" customHeight="false" outlineLevel="0" collapsed="false">
      <c r="A22" s="76" t="s">
        <v>330</v>
      </c>
      <c r="B22" s="76" t="n">
        <v>0</v>
      </c>
      <c r="C22" s="76" t="n">
        <v>5</v>
      </c>
      <c r="D22" s="76" t="n">
        <v>15</v>
      </c>
      <c r="E22" s="76" t="n">
        <v>30</v>
      </c>
      <c r="F22" s="76" t="n">
        <v>55</v>
      </c>
      <c r="G22" s="76" t="n">
        <v>85</v>
      </c>
      <c r="H22" s="76" t="n">
        <v>120</v>
      </c>
      <c r="I22" s="76" t="n">
        <v>160</v>
      </c>
      <c r="J22" s="76" t="n">
        <v>200</v>
      </c>
      <c r="K22" s="76" t="n">
        <v>245</v>
      </c>
      <c r="L22" s="76" t="n">
        <v>290</v>
      </c>
      <c r="M22" s="76" t="n">
        <v>340</v>
      </c>
      <c r="N22" s="77" t="n">
        <f aca="false">SUM(B22:M22)</f>
        <v>1545</v>
      </c>
    </row>
    <row r="23" customFormat="false" ht="15" hidden="false" customHeight="false" outlineLevel="0" collapsed="false">
      <c r="A23" s="78" t="s">
        <v>331</v>
      </c>
      <c r="B23" s="78" t="n">
        <v>0</v>
      </c>
      <c r="C23" s="78" t="n">
        <v>750</v>
      </c>
      <c r="D23" s="78" t="n">
        <v>2250</v>
      </c>
      <c r="E23" s="78" t="n">
        <v>4500</v>
      </c>
      <c r="F23" s="78" t="n">
        <v>8250</v>
      </c>
      <c r="G23" s="78" t="n">
        <v>12750</v>
      </c>
      <c r="H23" s="78" t="n">
        <v>18000</v>
      </c>
      <c r="I23" s="78" t="n">
        <v>24000</v>
      </c>
      <c r="J23" s="78" t="n">
        <v>30000</v>
      </c>
      <c r="K23" s="78" t="n">
        <v>36750</v>
      </c>
      <c r="L23" s="78" t="n">
        <v>43500</v>
      </c>
      <c r="M23" s="78" t="n">
        <v>51000</v>
      </c>
      <c r="N23" s="78" t="n">
        <f aca="false">SUM(B23:M23)</f>
        <v>231750</v>
      </c>
    </row>
    <row r="24" customFormat="false" ht="18" hidden="false" customHeight="true" outlineLevel="0" collapsed="false">
      <c r="A24" s="75" t="s">
        <v>332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</row>
    <row r="25" customFormat="false" ht="15" hidden="false" customHeight="false" outlineLevel="0" collapsed="false">
      <c r="A25" s="76" t="s">
        <v>333</v>
      </c>
      <c r="B25" s="76" t="n">
        <v>0</v>
      </c>
      <c r="C25" s="76" t="n">
        <v>0</v>
      </c>
      <c r="D25" s="76" t="n">
        <v>3</v>
      </c>
      <c r="E25" s="76" t="n">
        <v>8</v>
      </c>
      <c r="F25" s="76" t="n">
        <v>15</v>
      </c>
      <c r="G25" s="76" t="n">
        <v>25</v>
      </c>
      <c r="H25" s="76" t="n">
        <v>38</v>
      </c>
      <c r="I25" s="76" t="n">
        <v>53</v>
      </c>
      <c r="J25" s="76" t="n">
        <v>70</v>
      </c>
      <c r="K25" s="76" t="n">
        <v>88</v>
      </c>
      <c r="L25" s="76" t="n">
        <v>108</v>
      </c>
      <c r="M25" s="76" t="n">
        <v>130</v>
      </c>
      <c r="N25" s="77" t="n">
        <f aca="false">SUM(B25:M25)</f>
        <v>538</v>
      </c>
    </row>
    <row r="26" customFormat="false" ht="15" hidden="false" customHeight="false" outlineLevel="0" collapsed="false">
      <c r="A26" s="78" t="s">
        <v>334</v>
      </c>
      <c r="B26" s="78" t="n">
        <v>0</v>
      </c>
      <c r="C26" s="78" t="n">
        <v>0</v>
      </c>
      <c r="D26" s="78" t="n">
        <v>900</v>
      </c>
      <c r="E26" s="78" t="n">
        <v>2400</v>
      </c>
      <c r="F26" s="78" t="n">
        <v>4500</v>
      </c>
      <c r="G26" s="78" t="n">
        <v>7500</v>
      </c>
      <c r="H26" s="78" t="n">
        <v>11400</v>
      </c>
      <c r="I26" s="78" t="n">
        <v>15900</v>
      </c>
      <c r="J26" s="78" t="n">
        <v>21000</v>
      </c>
      <c r="K26" s="78" t="n">
        <v>26400</v>
      </c>
      <c r="L26" s="78" t="n">
        <v>32400</v>
      </c>
      <c r="M26" s="78" t="n">
        <v>39000</v>
      </c>
      <c r="N26" s="78" t="n">
        <f aca="false">SUM(B26:M26)</f>
        <v>161400</v>
      </c>
    </row>
    <row r="27" customFormat="false" ht="15" hidden="false" customHeight="false" outlineLevel="0" collapsed="false">
      <c r="A27" s="76" t="s">
        <v>335</v>
      </c>
      <c r="B27" s="76" t="n">
        <v>0</v>
      </c>
      <c r="C27" s="76" t="n">
        <v>0</v>
      </c>
      <c r="D27" s="76" t="n">
        <v>2</v>
      </c>
      <c r="E27" s="76" t="n">
        <v>5</v>
      </c>
      <c r="F27" s="76" t="n">
        <v>10</v>
      </c>
      <c r="G27" s="76" t="n">
        <v>18</v>
      </c>
      <c r="H27" s="76" t="n">
        <v>28</v>
      </c>
      <c r="I27" s="76" t="n">
        <v>40</v>
      </c>
      <c r="J27" s="76" t="n">
        <v>54</v>
      </c>
      <c r="K27" s="76" t="n">
        <v>70</v>
      </c>
      <c r="L27" s="76" t="n">
        <v>87</v>
      </c>
      <c r="M27" s="76" t="n">
        <v>106</v>
      </c>
      <c r="N27" s="77" t="n">
        <f aca="false">SUM(B27:M27)</f>
        <v>420</v>
      </c>
    </row>
    <row r="28" customFormat="false" ht="15" hidden="false" customHeight="false" outlineLevel="0" collapsed="false">
      <c r="A28" s="78" t="s">
        <v>336</v>
      </c>
      <c r="B28" s="78" t="n">
        <v>0</v>
      </c>
      <c r="C28" s="78" t="n">
        <v>0</v>
      </c>
      <c r="D28" s="78" t="n">
        <v>600</v>
      </c>
      <c r="E28" s="78" t="n">
        <v>1500</v>
      </c>
      <c r="F28" s="78" t="n">
        <v>3000</v>
      </c>
      <c r="G28" s="78" t="n">
        <v>5400</v>
      </c>
      <c r="H28" s="78" t="n">
        <v>8400</v>
      </c>
      <c r="I28" s="78" t="n">
        <v>12000</v>
      </c>
      <c r="J28" s="78" t="n">
        <v>16200</v>
      </c>
      <c r="K28" s="78" t="n">
        <v>21000</v>
      </c>
      <c r="L28" s="78" t="n">
        <v>26100</v>
      </c>
      <c r="M28" s="78" t="n">
        <v>31800</v>
      </c>
      <c r="N28" s="78" t="n">
        <f aca="false">SUM(B28:M28)</f>
        <v>126000</v>
      </c>
    </row>
    <row r="29" customFormat="false" ht="18" hidden="false" customHeight="true" outlineLevel="0" collapsed="false">
      <c r="A29" s="75" t="s">
        <v>337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</row>
    <row r="30" customFormat="false" ht="15" hidden="false" customHeight="false" outlineLevel="0" collapsed="false">
      <c r="A30" s="76" t="s">
        <v>338</v>
      </c>
      <c r="B30" s="76" t="n">
        <v>0</v>
      </c>
      <c r="C30" s="76" t="n">
        <v>0</v>
      </c>
      <c r="D30" s="76" t="n">
        <v>2</v>
      </c>
      <c r="E30" s="76" t="n">
        <v>4</v>
      </c>
      <c r="F30" s="76" t="n">
        <v>8</v>
      </c>
      <c r="G30" s="76" t="n">
        <v>13</v>
      </c>
      <c r="H30" s="76" t="n">
        <v>19</v>
      </c>
      <c r="I30" s="76" t="n">
        <v>26</v>
      </c>
      <c r="J30" s="76" t="n">
        <v>34</v>
      </c>
      <c r="K30" s="76" t="n">
        <v>43</v>
      </c>
      <c r="L30" s="76" t="n">
        <v>53</v>
      </c>
      <c r="M30" s="76" t="n">
        <v>64</v>
      </c>
      <c r="N30" s="77" t="n">
        <f aca="false">SUM(B30:M30)</f>
        <v>266</v>
      </c>
    </row>
    <row r="31" customFormat="false" ht="15" hidden="false" customHeight="false" outlineLevel="0" collapsed="false">
      <c r="A31" s="78" t="s">
        <v>339</v>
      </c>
      <c r="B31" s="78" t="n">
        <v>0</v>
      </c>
      <c r="C31" s="78" t="n">
        <v>0</v>
      </c>
      <c r="D31" s="78" t="n">
        <v>1000</v>
      </c>
      <c r="E31" s="78" t="n">
        <v>2000</v>
      </c>
      <c r="F31" s="78" t="n">
        <v>4000</v>
      </c>
      <c r="G31" s="78" t="n">
        <v>6500</v>
      </c>
      <c r="H31" s="78" t="n">
        <v>9500</v>
      </c>
      <c r="I31" s="78" t="n">
        <v>13000</v>
      </c>
      <c r="J31" s="78" t="n">
        <v>17000</v>
      </c>
      <c r="K31" s="78" t="n">
        <v>21500</v>
      </c>
      <c r="L31" s="78" t="n">
        <v>26500</v>
      </c>
      <c r="M31" s="78" t="n">
        <v>32000</v>
      </c>
      <c r="N31" s="78" t="n">
        <f aca="false">SUM(B31:M31)</f>
        <v>133000</v>
      </c>
    </row>
    <row r="32" customFormat="false" ht="15" hidden="false" customHeight="false" outlineLevel="0" collapsed="false">
      <c r="A32" s="76" t="s">
        <v>340</v>
      </c>
      <c r="B32" s="76" t="n">
        <v>0</v>
      </c>
      <c r="C32" s="76" t="n">
        <v>100</v>
      </c>
      <c r="D32" s="76" t="n">
        <v>250</v>
      </c>
      <c r="E32" s="76" t="n">
        <v>450</v>
      </c>
      <c r="F32" s="76" t="n">
        <v>700</v>
      </c>
      <c r="G32" s="76" t="n">
        <v>1000</v>
      </c>
      <c r="H32" s="76" t="n">
        <v>1350</v>
      </c>
      <c r="I32" s="76" t="n">
        <v>1750</v>
      </c>
      <c r="J32" s="76" t="n">
        <v>2200</v>
      </c>
      <c r="K32" s="76" t="n">
        <v>2700</v>
      </c>
      <c r="L32" s="76" t="n">
        <v>3250</v>
      </c>
      <c r="M32" s="76" t="n">
        <v>3850</v>
      </c>
      <c r="N32" s="77" t="n">
        <f aca="false">SUM(B32:M32)</f>
        <v>17600</v>
      </c>
    </row>
    <row r="33" customFormat="false" ht="15" hidden="false" customHeight="false" outlineLevel="0" collapsed="false">
      <c r="A33" s="78" t="s">
        <v>341</v>
      </c>
      <c r="B33" s="78" t="n">
        <v>0</v>
      </c>
      <c r="C33" s="78" t="n">
        <v>0</v>
      </c>
      <c r="D33" s="78" t="n">
        <v>0</v>
      </c>
      <c r="E33" s="78" t="n">
        <v>0</v>
      </c>
      <c r="F33" s="78" t="n">
        <v>0</v>
      </c>
      <c r="G33" s="78" t="n">
        <v>0</v>
      </c>
      <c r="H33" s="78" t="n">
        <v>0</v>
      </c>
      <c r="I33" s="78" t="n">
        <v>0</v>
      </c>
      <c r="J33" s="78" t="n">
        <v>0</v>
      </c>
      <c r="K33" s="78" t="n">
        <v>0</v>
      </c>
      <c r="L33" s="78" t="n">
        <v>0</v>
      </c>
      <c r="M33" s="78" t="n">
        <v>0</v>
      </c>
      <c r="N33" s="78" t="n">
        <f aca="false">SUM(B33:M33)</f>
        <v>0</v>
      </c>
    </row>
    <row r="34" customFormat="false" ht="18" hidden="false" customHeight="true" outlineLevel="0" collapsed="false">
      <c r="A34" s="75" t="s">
        <v>342</v>
      </c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</row>
    <row r="35" customFormat="false" ht="15" hidden="false" customHeight="false" outlineLevel="0" collapsed="false">
      <c r="A35" s="76" t="s">
        <v>343</v>
      </c>
      <c r="B35" s="76" t="n">
        <v>0</v>
      </c>
      <c r="C35" s="76" t="n">
        <v>0</v>
      </c>
      <c r="D35" s="76" t="n">
        <v>1</v>
      </c>
      <c r="E35" s="76" t="n">
        <v>2</v>
      </c>
      <c r="F35" s="76" t="n">
        <v>3</v>
      </c>
      <c r="G35" s="76" t="n">
        <v>5</v>
      </c>
      <c r="H35" s="76" t="n">
        <v>7</v>
      </c>
      <c r="I35" s="76" t="n">
        <v>9</v>
      </c>
      <c r="J35" s="76" t="n">
        <v>12</v>
      </c>
      <c r="K35" s="76" t="n">
        <v>15</v>
      </c>
      <c r="L35" s="76" t="n">
        <v>18</v>
      </c>
      <c r="M35" s="76" t="n">
        <v>22</v>
      </c>
      <c r="N35" s="77" t="n">
        <f aca="false">SUM(B35:M35)</f>
        <v>94</v>
      </c>
    </row>
    <row r="36" customFormat="false" ht="15" hidden="false" customHeight="false" outlineLevel="0" collapsed="false">
      <c r="A36" s="78" t="s">
        <v>344</v>
      </c>
      <c r="B36" s="78" t="n">
        <v>0</v>
      </c>
      <c r="C36" s="78" t="n">
        <v>0</v>
      </c>
      <c r="D36" s="78" t="n">
        <v>2000</v>
      </c>
      <c r="E36" s="78" t="n">
        <v>4000</v>
      </c>
      <c r="F36" s="78" t="n">
        <v>6000</v>
      </c>
      <c r="G36" s="78" t="n">
        <v>10000</v>
      </c>
      <c r="H36" s="78" t="n">
        <v>14000</v>
      </c>
      <c r="I36" s="78" t="n">
        <v>18000</v>
      </c>
      <c r="J36" s="78" t="n">
        <v>24000</v>
      </c>
      <c r="K36" s="78" t="n">
        <v>30000</v>
      </c>
      <c r="L36" s="78" t="n">
        <v>36000</v>
      </c>
      <c r="M36" s="78" t="n">
        <v>44000</v>
      </c>
      <c r="N36" s="78" t="n">
        <f aca="false">SUM(B36:M36)</f>
        <v>188000</v>
      </c>
    </row>
    <row r="37" customFormat="false" ht="15" hidden="false" customHeight="false" outlineLevel="0" collapsed="false">
      <c r="A37" s="76" t="s">
        <v>345</v>
      </c>
      <c r="B37" s="76" t="n">
        <v>0</v>
      </c>
      <c r="C37" s="76" t="n">
        <v>0</v>
      </c>
      <c r="D37" s="76" t="n">
        <v>2</v>
      </c>
      <c r="E37" s="76" t="n">
        <v>4</v>
      </c>
      <c r="F37" s="76" t="n">
        <v>7</v>
      </c>
      <c r="G37" s="76" t="n">
        <v>11</v>
      </c>
      <c r="H37" s="76" t="n">
        <v>16</v>
      </c>
      <c r="I37" s="76" t="n">
        <v>22</v>
      </c>
      <c r="J37" s="76" t="n">
        <v>29</v>
      </c>
      <c r="K37" s="76" t="n">
        <v>37</v>
      </c>
      <c r="L37" s="76" t="n">
        <v>46</v>
      </c>
      <c r="M37" s="76" t="n">
        <v>56</v>
      </c>
      <c r="N37" s="77" t="n">
        <f aca="false">SUM(B37:M37)</f>
        <v>230</v>
      </c>
    </row>
    <row r="38" customFormat="false" ht="15" hidden="false" customHeight="false" outlineLevel="0" collapsed="false">
      <c r="A38" s="78" t="s">
        <v>346</v>
      </c>
      <c r="B38" s="78" t="n">
        <v>0</v>
      </c>
      <c r="C38" s="78" t="n">
        <v>0</v>
      </c>
      <c r="D38" s="78" t="n">
        <v>1000</v>
      </c>
      <c r="E38" s="78" t="n">
        <v>2000</v>
      </c>
      <c r="F38" s="78" t="n">
        <v>3500</v>
      </c>
      <c r="G38" s="78" t="n">
        <v>5500</v>
      </c>
      <c r="H38" s="78" t="n">
        <v>8000</v>
      </c>
      <c r="I38" s="78" t="n">
        <v>11000</v>
      </c>
      <c r="J38" s="78" t="n">
        <v>14500</v>
      </c>
      <c r="K38" s="78" t="n">
        <v>18500</v>
      </c>
      <c r="L38" s="78" t="n">
        <v>23000</v>
      </c>
      <c r="M38" s="78" t="n">
        <v>28000</v>
      </c>
      <c r="N38" s="78" t="n">
        <f aca="false">SUM(B38:M38)</f>
        <v>115000</v>
      </c>
    </row>
    <row r="39" customFormat="false" ht="18" hidden="false" customHeight="true" outlineLevel="0" collapsed="false">
      <c r="A39" s="75" t="s">
        <v>347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</row>
    <row r="40" customFormat="false" ht="15" hidden="false" customHeight="false" outlineLevel="0" collapsed="false">
      <c r="A40" s="76" t="s">
        <v>348</v>
      </c>
      <c r="B40" s="76" t="n">
        <v>0</v>
      </c>
      <c r="C40" s="76" t="n">
        <v>0</v>
      </c>
      <c r="D40" s="76" t="n">
        <v>3</v>
      </c>
      <c r="E40" s="76" t="n">
        <v>8</v>
      </c>
      <c r="F40" s="76" t="n">
        <v>15</v>
      </c>
      <c r="G40" s="76" t="n">
        <v>25</v>
      </c>
      <c r="H40" s="76" t="n">
        <v>38</v>
      </c>
      <c r="I40" s="76" t="n">
        <v>54</v>
      </c>
      <c r="J40" s="76" t="n">
        <v>73</v>
      </c>
      <c r="K40" s="76" t="n">
        <v>95</v>
      </c>
      <c r="L40" s="76" t="n">
        <v>120</v>
      </c>
      <c r="M40" s="76" t="n">
        <v>148</v>
      </c>
      <c r="N40" s="77" t="n">
        <f aca="false">SUM(B40:M40)</f>
        <v>579</v>
      </c>
    </row>
    <row r="41" customFormat="false" ht="15" hidden="false" customHeight="false" outlineLevel="0" collapsed="false">
      <c r="A41" s="78" t="s">
        <v>349</v>
      </c>
      <c r="B41" s="78" t="n">
        <v>0</v>
      </c>
      <c r="C41" s="78" t="n">
        <v>0</v>
      </c>
      <c r="D41" s="78" t="n">
        <v>600</v>
      </c>
      <c r="E41" s="78" t="n">
        <v>1600</v>
      </c>
      <c r="F41" s="78" t="n">
        <v>3000</v>
      </c>
      <c r="G41" s="78" t="n">
        <v>5000</v>
      </c>
      <c r="H41" s="78" t="n">
        <v>7600</v>
      </c>
      <c r="I41" s="78" t="n">
        <v>10800</v>
      </c>
      <c r="J41" s="78" t="n">
        <v>14600</v>
      </c>
      <c r="K41" s="78" t="n">
        <v>19000</v>
      </c>
      <c r="L41" s="78" t="n">
        <v>24000</v>
      </c>
      <c r="M41" s="78" t="n">
        <v>29600</v>
      </c>
      <c r="N41" s="78" t="n">
        <f aca="false">SUM(B41:M41)</f>
        <v>115800</v>
      </c>
    </row>
    <row r="42" customFormat="false" ht="15" hidden="false" customHeight="false" outlineLevel="0" collapsed="false">
      <c r="A42" s="76" t="s">
        <v>350</v>
      </c>
      <c r="B42" s="76" t="n">
        <v>0</v>
      </c>
      <c r="C42" s="76" t="n">
        <v>0</v>
      </c>
      <c r="D42" s="76" t="n">
        <v>5</v>
      </c>
      <c r="E42" s="76" t="n">
        <v>12</v>
      </c>
      <c r="F42" s="76" t="n">
        <v>22</v>
      </c>
      <c r="G42" s="76" t="n">
        <v>36</v>
      </c>
      <c r="H42" s="76" t="n">
        <v>54</v>
      </c>
      <c r="I42" s="76" t="n">
        <v>76</v>
      </c>
      <c r="J42" s="76" t="n">
        <v>102</v>
      </c>
      <c r="K42" s="76" t="n">
        <v>132</v>
      </c>
      <c r="L42" s="76" t="n">
        <v>166</v>
      </c>
      <c r="M42" s="76" t="n">
        <v>204</v>
      </c>
      <c r="N42" s="77" t="n">
        <f aca="false">SUM(B42:M42)</f>
        <v>809</v>
      </c>
    </row>
    <row r="43" customFormat="false" ht="15" hidden="false" customHeight="false" outlineLevel="0" collapsed="false">
      <c r="A43" s="78" t="s">
        <v>351</v>
      </c>
      <c r="B43" s="78" t="n">
        <v>0</v>
      </c>
      <c r="C43" s="78" t="n">
        <v>0</v>
      </c>
      <c r="D43" s="78" t="n">
        <v>1000</v>
      </c>
      <c r="E43" s="78" t="n">
        <v>2400</v>
      </c>
      <c r="F43" s="78" t="n">
        <v>4400</v>
      </c>
      <c r="G43" s="78" t="n">
        <v>7200</v>
      </c>
      <c r="H43" s="78" t="n">
        <v>10800</v>
      </c>
      <c r="I43" s="78" t="n">
        <v>15200</v>
      </c>
      <c r="J43" s="78" t="n">
        <v>20400</v>
      </c>
      <c r="K43" s="78" t="n">
        <v>26400</v>
      </c>
      <c r="L43" s="78" t="n">
        <v>33200</v>
      </c>
      <c r="M43" s="78" t="n">
        <v>40800</v>
      </c>
      <c r="N43" s="78" t="n">
        <f aca="false">SUM(B43:M43)</f>
        <v>161800</v>
      </c>
    </row>
    <row r="44" customFormat="false" ht="18" hidden="false" customHeight="true" outlineLevel="0" collapsed="false">
      <c r="A44" s="75" t="s">
        <v>352</v>
      </c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</row>
    <row r="45" customFormat="false" ht="15" hidden="false" customHeight="false" outlineLevel="0" collapsed="false">
      <c r="A45" s="76" t="s">
        <v>353</v>
      </c>
      <c r="B45" s="76" t="n">
        <v>0</v>
      </c>
      <c r="C45" s="76" t="n">
        <v>10</v>
      </c>
      <c r="D45" s="76" t="n">
        <v>30</v>
      </c>
      <c r="E45" s="76" t="n">
        <v>60</v>
      </c>
      <c r="F45" s="76" t="n">
        <v>100</v>
      </c>
      <c r="G45" s="76" t="n">
        <v>150</v>
      </c>
      <c r="H45" s="76" t="n">
        <v>210</v>
      </c>
      <c r="I45" s="76" t="n">
        <v>280</v>
      </c>
      <c r="J45" s="76" t="n">
        <v>360</v>
      </c>
      <c r="K45" s="76" t="n">
        <v>450</v>
      </c>
      <c r="L45" s="76" t="n">
        <v>550</v>
      </c>
      <c r="M45" s="76" t="n">
        <v>660</v>
      </c>
      <c r="N45" s="77" t="n">
        <f aca="false">SUM(B45:M45)</f>
        <v>2860</v>
      </c>
    </row>
    <row r="46" customFormat="false" ht="15" hidden="false" customHeight="false" outlineLevel="0" collapsed="false">
      <c r="A46" s="78" t="s">
        <v>354</v>
      </c>
      <c r="B46" s="78" t="n">
        <v>0</v>
      </c>
      <c r="C46" s="78" t="n">
        <v>1000</v>
      </c>
      <c r="D46" s="78" t="n">
        <v>3000</v>
      </c>
      <c r="E46" s="78" t="n">
        <v>6000</v>
      </c>
      <c r="F46" s="78" t="n">
        <v>10000</v>
      </c>
      <c r="G46" s="78" t="n">
        <v>15000</v>
      </c>
      <c r="H46" s="78" t="n">
        <v>21000</v>
      </c>
      <c r="I46" s="78" t="n">
        <v>28000</v>
      </c>
      <c r="J46" s="78" t="n">
        <v>36000</v>
      </c>
      <c r="K46" s="78" t="n">
        <v>45000</v>
      </c>
      <c r="L46" s="78" t="n">
        <v>55000</v>
      </c>
      <c r="M46" s="78" t="n">
        <v>66000</v>
      </c>
      <c r="N46" s="78" t="n">
        <f aca="false">SUM(B46:M46)</f>
        <v>286000</v>
      </c>
    </row>
    <row r="47" customFormat="false" ht="15" hidden="false" customHeight="false" outlineLevel="0" collapsed="false">
      <c r="A47" s="76" t="s">
        <v>355</v>
      </c>
      <c r="B47" s="76" t="n">
        <v>0</v>
      </c>
      <c r="C47" s="76" t="n">
        <v>0</v>
      </c>
      <c r="D47" s="76" t="n">
        <v>1</v>
      </c>
      <c r="E47" s="76" t="n">
        <v>2</v>
      </c>
      <c r="F47" s="76" t="n">
        <v>4</v>
      </c>
      <c r="G47" s="76" t="n">
        <v>6</v>
      </c>
      <c r="H47" s="76" t="n">
        <v>9</v>
      </c>
      <c r="I47" s="76" t="n">
        <v>12</v>
      </c>
      <c r="J47" s="76" t="n">
        <v>16</v>
      </c>
      <c r="K47" s="76" t="n">
        <v>21</v>
      </c>
      <c r="L47" s="76" t="n">
        <v>26</v>
      </c>
      <c r="M47" s="76" t="n">
        <v>32</v>
      </c>
      <c r="N47" s="77" t="n">
        <f aca="false">SUM(B47:M47)</f>
        <v>129</v>
      </c>
    </row>
    <row r="48" customFormat="false" ht="15" hidden="false" customHeight="false" outlineLevel="0" collapsed="false">
      <c r="A48" s="78" t="s">
        <v>356</v>
      </c>
      <c r="B48" s="78" t="n">
        <v>0</v>
      </c>
      <c r="C48" s="78" t="n">
        <v>0</v>
      </c>
      <c r="D48" s="78" t="n">
        <v>500</v>
      </c>
      <c r="E48" s="78" t="n">
        <v>1000</v>
      </c>
      <c r="F48" s="78" t="n">
        <v>2000</v>
      </c>
      <c r="G48" s="78" t="n">
        <v>3000</v>
      </c>
      <c r="H48" s="78" t="n">
        <v>4500</v>
      </c>
      <c r="I48" s="78" t="n">
        <v>6000</v>
      </c>
      <c r="J48" s="78" t="n">
        <v>8000</v>
      </c>
      <c r="K48" s="78" t="n">
        <v>10500</v>
      </c>
      <c r="L48" s="78" t="n">
        <v>13000</v>
      </c>
      <c r="M48" s="78" t="n">
        <v>16000</v>
      </c>
      <c r="N48" s="78" t="n">
        <f aca="false">SUM(B48:M48)</f>
        <v>64500</v>
      </c>
    </row>
    <row r="49" customFormat="false" ht="21.75" hidden="false" customHeight="true" outlineLevel="0" collapsed="false">
      <c r="A49" s="79" t="s">
        <v>357</v>
      </c>
      <c r="B49" s="80" t="n">
        <f aca="false">B19+B21+B23+B26+B28+B31+B33+B36+B38+B41+B43+B46+B48</f>
        <v>0</v>
      </c>
      <c r="C49" s="80" t="n">
        <f aca="false">C19+C21+C23+C26+C28+C31+C33+C36+C38+C41+C43+C46+C48</f>
        <v>6750</v>
      </c>
      <c r="D49" s="80" t="n">
        <f aca="false">D19+D21+D23+D26+D28+D31+D33+D36+D38+D41+D43+D46+D48</f>
        <v>23450</v>
      </c>
      <c r="E49" s="80" t="n">
        <f aca="false">E19+E21+E23+E26+E28+E31+E33+E36+E38+E41+E43+E46+E48</f>
        <v>48900</v>
      </c>
      <c r="F49" s="80" t="n">
        <f aca="false">F19+F21+F23+F26+F28+F31+F33+F36+F38+F41+F43+F46+F48</f>
        <v>86650</v>
      </c>
      <c r="G49" s="80" t="n">
        <f aca="false">G19+G21+G23+G26+G28+G31+G33+G36+G38+G41+G43+G46+G48</f>
        <v>133250</v>
      </c>
      <c r="H49" s="80" t="n">
        <f aca="false">H19+H21+H23+H26+H28+H31+H33+H36+H38+H41+H43+H46+H48</f>
        <v>191600</v>
      </c>
      <c r="I49" s="80" t="n">
        <f aca="false">I19+I21+I23+I26+I28+I31+I33+I36+I38+I41+I43+I46+I48</f>
        <v>255300</v>
      </c>
      <c r="J49" s="80" t="n">
        <f aca="false">J19+J21+J23+J26+J28+J31+J33+J36+J38+J41+J43+J46+J48</f>
        <v>326700</v>
      </c>
      <c r="K49" s="80" t="n">
        <f aca="false">K19+K21+K23+K26+K28+K31+K33+K36+K38+K41+K43+K46+K48</f>
        <v>403650</v>
      </c>
      <c r="L49" s="80" t="n">
        <f aca="false">L19+L21+L23+L26+L28+L31+L33+L36+L38+L41+L43+L46+L48</f>
        <v>485200</v>
      </c>
      <c r="M49" s="80" t="n">
        <f aca="false">M19+M21+M23+M26+M28+M31+M33+M36+M38+M41+M43+M46+M48</f>
        <v>575200</v>
      </c>
      <c r="N49" s="80" t="n">
        <f aca="false">N19+N21+N23+N26+N28+N31+N33+N36+N38+N41+N43+N46+N48</f>
        <v>2536650</v>
      </c>
    </row>
  </sheetData>
  <mergeCells count="8">
    <mergeCell ref="A1:L1"/>
    <mergeCell ref="A15:N15"/>
    <mergeCell ref="A17:N17"/>
    <mergeCell ref="A24:N24"/>
    <mergeCell ref="A29:N29"/>
    <mergeCell ref="A34:N34"/>
    <mergeCell ref="A39:N39"/>
    <mergeCell ref="A44:N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3" min="3" style="1" width="35"/>
    <col collapsed="false" customWidth="true" hidden="false" outlineLevel="0" max="4" min="4" style="1" width="25"/>
    <col collapsed="false" customWidth="true" hidden="false" outlineLevel="0" max="5" min="5" style="1" width="30"/>
    <col collapsed="false" customWidth="true" hidden="false" outlineLevel="0" max="6" min="6" style="1" width="28"/>
    <col collapsed="false" customWidth="true" hidden="false" outlineLevel="0" max="8" min="7" style="1" width="25"/>
    <col collapsed="false" customWidth="true" hidden="false" outlineLevel="0" max="9" min="9" style="1" width="28"/>
  </cols>
  <sheetData>
    <row r="1" customFormat="false" ht="31.5" hidden="false" customHeight="true" outlineLevel="0" collapsed="false">
      <c r="A1" s="81" t="s">
        <v>358</v>
      </c>
      <c r="B1" s="81"/>
      <c r="C1" s="81"/>
      <c r="D1" s="81"/>
      <c r="E1" s="81"/>
      <c r="F1" s="81"/>
      <c r="G1" s="81"/>
      <c r="H1" s="81"/>
      <c r="I1" s="81"/>
    </row>
    <row r="2" customFormat="false" ht="15" hidden="false" customHeight="true" outlineLevel="0" collapsed="false">
      <c r="A2" s="82" t="s">
        <v>2</v>
      </c>
      <c r="B2" s="82" t="s">
        <v>359</v>
      </c>
      <c r="C2" s="82" t="s">
        <v>360</v>
      </c>
      <c r="D2" s="82" t="s">
        <v>361</v>
      </c>
      <c r="E2" s="82" t="s">
        <v>362</v>
      </c>
      <c r="F2" s="82" t="s">
        <v>363</v>
      </c>
      <c r="G2" s="82" t="s">
        <v>364</v>
      </c>
      <c r="H2" s="82" t="s">
        <v>365</v>
      </c>
      <c r="I2" s="82" t="s">
        <v>366</v>
      </c>
    </row>
    <row r="4" customFormat="false" ht="54.75" hidden="false" customHeight="true" outlineLevel="0" collapsed="false">
      <c r="A4" s="5" t="n">
        <v>1</v>
      </c>
      <c r="B4" s="5" t="s">
        <v>367</v>
      </c>
      <c r="C4" s="6" t="s">
        <v>368</v>
      </c>
      <c r="D4" s="6" t="s">
        <v>369</v>
      </c>
      <c r="E4" s="6" t="s">
        <v>370</v>
      </c>
      <c r="F4" s="6" t="s">
        <v>371</v>
      </c>
      <c r="G4" s="6" t="s">
        <v>372</v>
      </c>
      <c r="H4" s="6" t="s">
        <v>373</v>
      </c>
      <c r="I4" s="6" t="s">
        <v>374</v>
      </c>
    </row>
    <row r="5" customFormat="false" ht="54.75" hidden="false" customHeight="true" outlineLevel="0" collapsed="false">
      <c r="A5" s="5" t="n">
        <v>2</v>
      </c>
      <c r="B5" s="5" t="s">
        <v>375</v>
      </c>
      <c r="C5" s="6" t="s">
        <v>376</v>
      </c>
      <c r="D5" s="6" t="s">
        <v>377</v>
      </c>
      <c r="E5" s="6" t="s">
        <v>378</v>
      </c>
      <c r="F5" s="6" t="s">
        <v>379</v>
      </c>
      <c r="G5" s="6" t="s">
        <v>380</v>
      </c>
      <c r="H5" s="6" t="s">
        <v>381</v>
      </c>
      <c r="I5" s="6" t="s">
        <v>382</v>
      </c>
    </row>
    <row r="6" customFormat="false" ht="54.75" hidden="false" customHeight="true" outlineLevel="0" collapsed="false">
      <c r="A6" s="5" t="n">
        <v>3</v>
      </c>
      <c r="B6" s="5" t="s">
        <v>27</v>
      </c>
      <c r="C6" s="6" t="s">
        <v>383</v>
      </c>
      <c r="D6" s="6" t="s">
        <v>384</v>
      </c>
      <c r="E6" s="6" t="s">
        <v>385</v>
      </c>
      <c r="F6" s="6" t="s">
        <v>386</v>
      </c>
      <c r="G6" s="6" t="s">
        <v>387</v>
      </c>
      <c r="H6" s="6" t="s">
        <v>388</v>
      </c>
      <c r="I6" s="6" t="s">
        <v>389</v>
      </c>
    </row>
    <row r="7" customFormat="false" ht="54.75" hidden="false" customHeight="true" outlineLevel="0" collapsed="false">
      <c r="A7" s="5" t="n">
        <v>4</v>
      </c>
      <c r="B7" s="5" t="s">
        <v>30</v>
      </c>
      <c r="C7" s="6" t="s">
        <v>390</v>
      </c>
      <c r="D7" s="6" t="s">
        <v>391</v>
      </c>
      <c r="E7" s="6" t="s">
        <v>392</v>
      </c>
      <c r="F7" s="6" t="s">
        <v>393</v>
      </c>
      <c r="G7" s="6" t="s">
        <v>394</v>
      </c>
      <c r="H7" s="6" t="s">
        <v>395</v>
      </c>
      <c r="I7" s="6" t="s">
        <v>396</v>
      </c>
    </row>
    <row r="8" customFormat="false" ht="54.75" hidden="false" customHeight="true" outlineLevel="0" collapsed="false">
      <c r="A8" s="5" t="n">
        <v>5</v>
      </c>
      <c r="B8" s="5" t="s">
        <v>397</v>
      </c>
      <c r="C8" s="6" t="s">
        <v>398</v>
      </c>
      <c r="D8" s="6" t="s">
        <v>399</v>
      </c>
      <c r="E8" s="6" t="s">
        <v>400</v>
      </c>
      <c r="F8" s="6" t="s">
        <v>401</v>
      </c>
      <c r="G8" s="6" t="s">
        <v>402</v>
      </c>
      <c r="H8" s="6" t="s">
        <v>403</v>
      </c>
      <c r="I8" s="6" t="s">
        <v>404</v>
      </c>
    </row>
    <row r="9" customFormat="false" ht="54.75" hidden="false" customHeight="true" outlineLevel="0" collapsed="false">
      <c r="A9" s="5" t="n">
        <v>6</v>
      </c>
      <c r="B9" s="5" t="s">
        <v>41</v>
      </c>
      <c r="C9" s="6" t="s">
        <v>405</v>
      </c>
      <c r="D9" s="6" t="s">
        <v>406</v>
      </c>
      <c r="E9" s="6" t="s">
        <v>407</v>
      </c>
      <c r="F9" s="6" t="s">
        <v>408</v>
      </c>
      <c r="G9" s="6" t="s">
        <v>409</v>
      </c>
      <c r="H9" s="6" t="s">
        <v>410</v>
      </c>
      <c r="I9" s="6" t="s">
        <v>411</v>
      </c>
    </row>
    <row r="10" customFormat="false" ht="54.75" hidden="false" customHeight="true" outlineLevel="0" collapsed="false">
      <c r="A10" s="5" t="n">
        <v>7</v>
      </c>
      <c r="B10" s="5" t="s">
        <v>412</v>
      </c>
      <c r="C10" s="6" t="s">
        <v>413</v>
      </c>
      <c r="D10" s="6" t="s">
        <v>414</v>
      </c>
      <c r="E10" s="6" t="s">
        <v>415</v>
      </c>
      <c r="F10" s="6" t="s">
        <v>416</v>
      </c>
      <c r="G10" s="6" t="s">
        <v>417</v>
      </c>
      <c r="H10" s="6" t="s">
        <v>418</v>
      </c>
      <c r="I10" s="6" t="s">
        <v>419</v>
      </c>
    </row>
    <row r="11" customFormat="false" ht="54.75" hidden="false" customHeight="true" outlineLevel="0" collapsed="false">
      <c r="A11" s="5" t="n">
        <v>8</v>
      </c>
      <c r="B11" s="5" t="s">
        <v>420</v>
      </c>
      <c r="C11" s="6" t="s">
        <v>421</v>
      </c>
      <c r="D11" s="6" t="s">
        <v>422</v>
      </c>
      <c r="E11" s="6" t="s">
        <v>423</v>
      </c>
      <c r="F11" s="6" t="s">
        <v>424</v>
      </c>
      <c r="G11" s="6" t="s">
        <v>425</v>
      </c>
      <c r="H11" s="6" t="s">
        <v>426</v>
      </c>
      <c r="I11" s="6" t="s">
        <v>427</v>
      </c>
    </row>
    <row r="12" customFormat="false" ht="54.75" hidden="false" customHeight="true" outlineLevel="0" collapsed="false">
      <c r="A12" s="5" t="n">
        <v>9</v>
      </c>
      <c r="B12" s="5" t="s">
        <v>50</v>
      </c>
      <c r="C12" s="6" t="s">
        <v>428</v>
      </c>
      <c r="D12" s="6" t="s">
        <v>429</v>
      </c>
      <c r="E12" s="6" t="s">
        <v>430</v>
      </c>
      <c r="F12" s="6" t="s">
        <v>431</v>
      </c>
      <c r="G12" s="6" t="s">
        <v>432</v>
      </c>
      <c r="H12" s="6" t="s">
        <v>433</v>
      </c>
      <c r="I12" s="6" t="s">
        <v>434</v>
      </c>
    </row>
    <row r="13" customFormat="false" ht="54.75" hidden="false" customHeight="true" outlineLevel="0" collapsed="false">
      <c r="A13" s="5" t="n">
        <v>10</v>
      </c>
      <c r="B13" s="5" t="s">
        <v>435</v>
      </c>
      <c r="C13" s="6" t="s">
        <v>436</v>
      </c>
      <c r="D13" s="6" t="s">
        <v>437</v>
      </c>
      <c r="E13" s="6" t="s">
        <v>438</v>
      </c>
      <c r="F13" s="6" t="s">
        <v>439</v>
      </c>
      <c r="G13" s="6" t="s">
        <v>440</v>
      </c>
      <c r="H13" s="6" t="s">
        <v>441</v>
      </c>
      <c r="I13" s="6" t="s">
        <v>442</v>
      </c>
    </row>
    <row r="14" customFormat="false" ht="54.75" hidden="false" customHeight="true" outlineLevel="0" collapsed="false">
      <c r="A14" s="11" t="n">
        <v>11</v>
      </c>
      <c r="B14" s="11" t="s">
        <v>56</v>
      </c>
      <c r="C14" s="12" t="s">
        <v>443</v>
      </c>
      <c r="D14" s="12" t="s">
        <v>444</v>
      </c>
      <c r="E14" s="12" t="s">
        <v>445</v>
      </c>
      <c r="F14" s="12" t="s">
        <v>446</v>
      </c>
      <c r="G14" s="12" t="s">
        <v>447</v>
      </c>
      <c r="H14" s="12" t="s">
        <v>448</v>
      </c>
      <c r="I14" s="12" t="s">
        <v>449</v>
      </c>
    </row>
    <row r="15" customFormat="false" ht="54.75" hidden="false" customHeight="true" outlineLevel="0" collapsed="false">
      <c r="A15" s="11" t="n">
        <v>12</v>
      </c>
      <c r="B15" s="11" t="s">
        <v>61</v>
      </c>
      <c r="C15" s="12" t="s">
        <v>450</v>
      </c>
      <c r="D15" s="12" t="s">
        <v>451</v>
      </c>
      <c r="E15" s="12" t="s">
        <v>452</v>
      </c>
      <c r="F15" s="12" t="s">
        <v>453</v>
      </c>
      <c r="G15" s="12" t="s">
        <v>454</v>
      </c>
      <c r="H15" s="12" t="s">
        <v>455</v>
      </c>
      <c r="I15" s="12" t="s">
        <v>456</v>
      </c>
    </row>
    <row r="16" customFormat="false" ht="54.75" hidden="false" customHeight="true" outlineLevel="0" collapsed="false">
      <c r="A16" s="11" t="n">
        <v>13</v>
      </c>
      <c r="B16" s="11" t="s">
        <v>457</v>
      </c>
      <c r="C16" s="12" t="s">
        <v>458</v>
      </c>
      <c r="D16" s="12" t="s">
        <v>459</v>
      </c>
      <c r="E16" s="12" t="s">
        <v>460</v>
      </c>
      <c r="F16" s="12" t="s">
        <v>461</v>
      </c>
      <c r="G16" s="12" t="s">
        <v>462</v>
      </c>
      <c r="H16" s="12" t="s">
        <v>463</v>
      </c>
      <c r="I16" s="12" t="s">
        <v>464</v>
      </c>
    </row>
    <row r="17" customFormat="false" ht="54.75" hidden="false" customHeight="true" outlineLevel="0" collapsed="false">
      <c r="A17" s="11" t="n">
        <v>14</v>
      </c>
      <c r="B17" s="11" t="s">
        <v>465</v>
      </c>
      <c r="C17" s="12" t="s">
        <v>466</v>
      </c>
      <c r="D17" s="12" t="s">
        <v>467</v>
      </c>
      <c r="E17" s="12" t="s">
        <v>468</v>
      </c>
      <c r="F17" s="12" t="s">
        <v>469</v>
      </c>
      <c r="G17" s="12" t="s">
        <v>470</v>
      </c>
      <c r="H17" s="12" t="s">
        <v>471</v>
      </c>
      <c r="I17" s="12" t="s">
        <v>472</v>
      </c>
    </row>
    <row r="18" customFormat="false" ht="54.75" hidden="false" customHeight="true" outlineLevel="0" collapsed="false">
      <c r="A18" s="11" t="n">
        <v>15</v>
      </c>
      <c r="B18" s="11" t="s">
        <v>473</v>
      </c>
      <c r="C18" s="12" t="s">
        <v>474</v>
      </c>
      <c r="D18" s="12" t="s">
        <v>475</v>
      </c>
      <c r="E18" s="12" t="s">
        <v>476</v>
      </c>
      <c r="F18" s="12" t="s">
        <v>477</v>
      </c>
      <c r="G18" s="12" t="s">
        <v>478</v>
      </c>
      <c r="H18" s="12" t="s">
        <v>479</v>
      </c>
      <c r="I18" s="12" t="s">
        <v>480</v>
      </c>
    </row>
    <row r="19" customFormat="false" ht="54.75" hidden="false" customHeight="true" outlineLevel="0" collapsed="false">
      <c r="A19" s="11" t="n">
        <v>16</v>
      </c>
      <c r="B19" s="11" t="s">
        <v>481</v>
      </c>
      <c r="C19" s="12" t="s">
        <v>482</v>
      </c>
      <c r="D19" s="12" t="s">
        <v>483</v>
      </c>
      <c r="E19" s="12" t="s">
        <v>484</v>
      </c>
      <c r="F19" s="12" t="s">
        <v>485</v>
      </c>
      <c r="G19" s="12" t="s">
        <v>486</v>
      </c>
      <c r="H19" s="12" t="s">
        <v>487</v>
      </c>
      <c r="I19" s="12" t="s">
        <v>488</v>
      </c>
    </row>
    <row r="20" customFormat="false" ht="54.75" hidden="false" customHeight="true" outlineLevel="0" collapsed="false">
      <c r="A20" s="11" t="n">
        <v>17</v>
      </c>
      <c r="B20" s="11" t="s">
        <v>81</v>
      </c>
      <c r="C20" s="12" t="s">
        <v>489</v>
      </c>
      <c r="D20" s="12" t="s">
        <v>490</v>
      </c>
      <c r="E20" s="12" t="s">
        <v>491</v>
      </c>
      <c r="F20" s="12" t="s">
        <v>492</v>
      </c>
      <c r="G20" s="12" t="s">
        <v>493</v>
      </c>
      <c r="H20" s="12" t="s">
        <v>494</v>
      </c>
      <c r="I20" s="12" t="s">
        <v>495</v>
      </c>
    </row>
    <row r="21" customFormat="false" ht="54.75" hidden="false" customHeight="true" outlineLevel="0" collapsed="false">
      <c r="A21" s="11" t="n">
        <v>18</v>
      </c>
      <c r="B21" s="11" t="s">
        <v>84</v>
      </c>
      <c r="C21" s="12" t="s">
        <v>496</v>
      </c>
      <c r="D21" s="12" t="s">
        <v>497</v>
      </c>
      <c r="E21" s="12" t="s">
        <v>498</v>
      </c>
      <c r="F21" s="12" t="s">
        <v>499</v>
      </c>
      <c r="G21" s="12" t="s">
        <v>500</v>
      </c>
      <c r="H21" s="12" t="s">
        <v>501</v>
      </c>
      <c r="I21" s="12" t="s">
        <v>502</v>
      </c>
    </row>
    <row r="22" customFormat="false" ht="54.75" hidden="false" customHeight="true" outlineLevel="0" collapsed="false">
      <c r="A22" s="15" t="n">
        <v>19</v>
      </c>
      <c r="B22" s="15" t="s">
        <v>87</v>
      </c>
      <c r="C22" s="16" t="s">
        <v>503</v>
      </c>
      <c r="D22" s="16" t="s">
        <v>504</v>
      </c>
      <c r="E22" s="16" t="s">
        <v>505</v>
      </c>
      <c r="F22" s="16" t="s">
        <v>506</v>
      </c>
      <c r="G22" s="16" t="s">
        <v>507</v>
      </c>
      <c r="H22" s="16" t="s">
        <v>508</v>
      </c>
      <c r="I22" s="16" t="s">
        <v>509</v>
      </c>
    </row>
    <row r="23" customFormat="false" ht="54.75" hidden="false" customHeight="true" outlineLevel="0" collapsed="false">
      <c r="A23" s="15" t="n">
        <v>20</v>
      </c>
      <c r="B23" s="15" t="s">
        <v>94</v>
      </c>
      <c r="C23" s="16" t="s">
        <v>510</v>
      </c>
      <c r="D23" s="16" t="s">
        <v>511</v>
      </c>
      <c r="E23" s="16" t="s">
        <v>512</v>
      </c>
      <c r="F23" s="16" t="s">
        <v>513</v>
      </c>
      <c r="G23" s="16" t="s">
        <v>514</v>
      </c>
      <c r="H23" s="16" t="s">
        <v>515</v>
      </c>
      <c r="I23" s="16" t="s">
        <v>516</v>
      </c>
    </row>
    <row r="24" customFormat="false" ht="54.75" hidden="false" customHeight="true" outlineLevel="0" collapsed="false">
      <c r="A24" s="15" t="n">
        <v>21</v>
      </c>
      <c r="B24" s="15" t="s">
        <v>98</v>
      </c>
      <c r="C24" s="16" t="s">
        <v>517</v>
      </c>
      <c r="D24" s="16" t="s">
        <v>518</v>
      </c>
      <c r="E24" s="16" t="s">
        <v>519</v>
      </c>
      <c r="F24" s="16" t="s">
        <v>520</v>
      </c>
      <c r="G24" s="16" t="s">
        <v>521</v>
      </c>
      <c r="H24" s="16" t="s">
        <v>522</v>
      </c>
      <c r="I24" s="16" t="s">
        <v>523</v>
      </c>
    </row>
    <row r="25" customFormat="false" ht="54.75" hidden="false" customHeight="true" outlineLevel="0" collapsed="false">
      <c r="A25" s="15" t="n">
        <v>22</v>
      </c>
      <c r="B25" s="15" t="s">
        <v>524</v>
      </c>
      <c r="C25" s="16" t="s">
        <v>525</v>
      </c>
      <c r="D25" s="16" t="s">
        <v>526</v>
      </c>
      <c r="E25" s="16" t="s">
        <v>527</v>
      </c>
      <c r="F25" s="16" t="s">
        <v>528</v>
      </c>
      <c r="G25" s="16" t="s">
        <v>529</v>
      </c>
      <c r="H25" s="16" t="s">
        <v>530</v>
      </c>
      <c r="I25" s="16" t="s">
        <v>531</v>
      </c>
    </row>
    <row r="26" customFormat="false" ht="54.75" hidden="false" customHeight="true" outlineLevel="0" collapsed="false">
      <c r="A26" s="15" t="n">
        <v>23</v>
      </c>
      <c r="B26" s="15" t="s">
        <v>106</v>
      </c>
      <c r="C26" s="16" t="s">
        <v>532</v>
      </c>
      <c r="D26" s="16" t="s">
        <v>533</v>
      </c>
      <c r="E26" s="16" t="s">
        <v>534</v>
      </c>
      <c r="F26" s="16" t="s">
        <v>535</v>
      </c>
      <c r="G26" s="16" t="s">
        <v>536</v>
      </c>
      <c r="H26" s="16" t="s">
        <v>537</v>
      </c>
      <c r="I26" s="16" t="s">
        <v>538</v>
      </c>
    </row>
    <row r="27" customFormat="false" ht="54.75" hidden="false" customHeight="true" outlineLevel="0" collapsed="false">
      <c r="A27" s="15" t="n">
        <v>24</v>
      </c>
      <c r="B27" s="15" t="s">
        <v>539</v>
      </c>
      <c r="C27" s="16" t="s">
        <v>540</v>
      </c>
      <c r="D27" s="16" t="s">
        <v>541</v>
      </c>
      <c r="E27" s="16" t="s">
        <v>542</v>
      </c>
      <c r="F27" s="16" t="s">
        <v>543</v>
      </c>
      <c r="G27" s="16" t="s">
        <v>544</v>
      </c>
      <c r="H27" s="16" t="s">
        <v>545</v>
      </c>
      <c r="I27" s="16" t="s">
        <v>546</v>
      </c>
    </row>
    <row r="28" customFormat="false" ht="54.75" hidden="false" customHeight="true" outlineLevel="0" collapsed="false">
      <c r="A28" s="15" t="n">
        <v>25</v>
      </c>
      <c r="B28" s="15" t="s">
        <v>547</v>
      </c>
      <c r="C28" s="16" t="s">
        <v>548</v>
      </c>
      <c r="D28" s="16" t="s">
        <v>549</v>
      </c>
      <c r="E28" s="16" t="s">
        <v>550</v>
      </c>
      <c r="F28" s="16" t="s">
        <v>551</v>
      </c>
      <c r="G28" s="16" t="s">
        <v>552</v>
      </c>
      <c r="H28" s="16" t="s">
        <v>553</v>
      </c>
      <c r="I28" s="16" t="s">
        <v>554</v>
      </c>
    </row>
    <row r="29" customFormat="false" ht="54.75" hidden="false" customHeight="true" outlineLevel="0" collapsed="false">
      <c r="A29" s="15" t="n">
        <v>26</v>
      </c>
      <c r="B29" s="15" t="s">
        <v>555</v>
      </c>
      <c r="C29" s="16" t="s">
        <v>556</v>
      </c>
      <c r="D29" s="16" t="s">
        <v>557</v>
      </c>
      <c r="E29" s="16" t="s">
        <v>558</v>
      </c>
      <c r="F29" s="16" t="s">
        <v>559</v>
      </c>
      <c r="G29" s="16" t="s">
        <v>560</v>
      </c>
      <c r="H29" s="16" t="s">
        <v>561</v>
      </c>
      <c r="I29" s="16" t="s">
        <v>562</v>
      </c>
    </row>
    <row r="30" customFormat="false" ht="54.75" hidden="false" customHeight="true" outlineLevel="0" collapsed="false">
      <c r="A30" s="15" t="n">
        <v>27</v>
      </c>
      <c r="B30" s="15" t="s">
        <v>123</v>
      </c>
      <c r="C30" s="16" t="s">
        <v>563</v>
      </c>
      <c r="D30" s="16" t="s">
        <v>564</v>
      </c>
      <c r="E30" s="16" t="s">
        <v>565</v>
      </c>
      <c r="F30" s="16" t="s">
        <v>566</v>
      </c>
      <c r="G30" s="16" t="s">
        <v>567</v>
      </c>
      <c r="H30" s="16" t="s">
        <v>568</v>
      </c>
      <c r="I30" s="16" t="s">
        <v>569</v>
      </c>
    </row>
    <row r="31" customFormat="false" ht="54.75" hidden="false" customHeight="true" outlineLevel="0" collapsed="false">
      <c r="A31" s="15" t="n">
        <v>28</v>
      </c>
      <c r="B31" s="15" t="s">
        <v>126</v>
      </c>
      <c r="C31" s="16" t="s">
        <v>570</v>
      </c>
      <c r="D31" s="16" t="s">
        <v>571</v>
      </c>
      <c r="E31" s="16" t="s">
        <v>572</v>
      </c>
      <c r="F31" s="16" t="s">
        <v>573</v>
      </c>
      <c r="G31" s="16" t="s">
        <v>574</v>
      </c>
      <c r="H31" s="16" t="s">
        <v>575</v>
      </c>
      <c r="I31" s="16" t="s">
        <v>576</v>
      </c>
    </row>
    <row r="32" customFormat="false" ht="54.75" hidden="false" customHeight="true" outlineLevel="0" collapsed="false">
      <c r="A32" s="15" t="n">
        <v>29</v>
      </c>
      <c r="B32" s="15" t="s">
        <v>129</v>
      </c>
      <c r="C32" s="16" t="s">
        <v>577</v>
      </c>
      <c r="D32" s="16" t="s">
        <v>578</v>
      </c>
      <c r="E32" s="16" t="s">
        <v>579</v>
      </c>
      <c r="F32" s="16" t="s">
        <v>580</v>
      </c>
      <c r="G32" s="16" t="s">
        <v>581</v>
      </c>
      <c r="H32" s="16" t="s">
        <v>582</v>
      </c>
      <c r="I32" s="16" t="s">
        <v>583</v>
      </c>
    </row>
    <row r="33" customFormat="false" ht="54.75" hidden="false" customHeight="true" outlineLevel="0" collapsed="false">
      <c r="A33" s="18" t="n">
        <v>31</v>
      </c>
      <c r="B33" s="18" t="s">
        <v>292</v>
      </c>
      <c r="C33" s="18" t="s">
        <v>584</v>
      </c>
      <c r="D33" s="18" t="s">
        <v>585</v>
      </c>
      <c r="E33" s="18" t="s">
        <v>586</v>
      </c>
      <c r="F33" s="18" t="s">
        <v>587</v>
      </c>
      <c r="G33" s="18" t="s">
        <v>588</v>
      </c>
      <c r="H33" s="18" t="s">
        <v>589</v>
      </c>
      <c r="I33" s="18" t="s">
        <v>590</v>
      </c>
    </row>
    <row r="34" customFormat="false" ht="23.25" hidden="false" customHeight="true" outlineLevel="0" collapsed="false">
      <c r="A34" s="18" t="n">
        <v>32</v>
      </c>
      <c r="B34" s="18" t="s">
        <v>135</v>
      </c>
      <c r="C34" s="18" t="s">
        <v>591</v>
      </c>
      <c r="D34" s="18" t="s">
        <v>592</v>
      </c>
      <c r="E34" s="18" t="s">
        <v>593</v>
      </c>
      <c r="F34" s="18" t="s">
        <v>594</v>
      </c>
      <c r="G34" s="18" t="s">
        <v>595</v>
      </c>
      <c r="H34" s="18" t="s">
        <v>596</v>
      </c>
      <c r="I34" s="18" t="s">
        <v>597</v>
      </c>
    </row>
    <row r="35" customFormat="false" ht="23.25" hidden="false" customHeight="true" outlineLevel="0" collapsed="false">
      <c r="A35" s="18" t="n">
        <v>33</v>
      </c>
      <c r="B35" s="18" t="s">
        <v>139</v>
      </c>
      <c r="C35" s="18" t="s">
        <v>598</v>
      </c>
      <c r="D35" s="18" t="s">
        <v>599</v>
      </c>
      <c r="E35" s="18" t="s">
        <v>600</v>
      </c>
      <c r="F35" s="18" t="s">
        <v>601</v>
      </c>
      <c r="G35" s="18" t="s">
        <v>602</v>
      </c>
      <c r="H35" s="18" t="s">
        <v>603</v>
      </c>
      <c r="I35" s="18" t="s">
        <v>604</v>
      </c>
    </row>
    <row r="36" customFormat="false" ht="23.25" hidden="false" customHeight="true" outlineLevel="0" collapsed="false">
      <c r="A36" s="18" t="n">
        <v>34</v>
      </c>
      <c r="B36" s="18" t="s">
        <v>142</v>
      </c>
      <c r="C36" s="18" t="s">
        <v>605</v>
      </c>
      <c r="D36" s="18" t="s">
        <v>606</v>
      </c>
      <c r="E36" s="18" t="s">
        <v>607</v>
      </c>
      <c r="F36" s="18" t="s">
        <v>608</v>
      </c>
      <c r="G36" s="18" t="s">
        <v>609</v>
      </c>
      <c r="H36" s="18" t="s">
        <v>610</v>
      </c>
      <c r="I36" s="18" t="s">
        <v>611</v>
      </c>
    </row>
    <row r="37" customFormat="false" ht="34.5" hidden="false" customHeight="true" outlineLevel="0" collapsed="false">
      <c r="A37" s="18" t="n">
        <v>35</v>
      </c>
      <c r="B37" s="18" t="s">
        <v>147</v>
      </c>
      <c r="C37" s="18" t="s">
        <v>612</v>
      </c>
      <c r="D37" s="18" t="s">
        <v>613</v>
      </c>
      <c r="E37" s="18" t="s">
        <v>614</v>
      </c>
      <c r="F37" s="18" t="s">
        <v>615</v>
      </c>
      <c r="G37" s="18" t="s">
        <v>616</v>
      </c>
      <c r="H37" s="18" t="s">
        <v>617</v>
      </c>
      <c r="I37" s="18" t="s">
        <v>618</v>
      </c>
    </row>
    <row r="38" customFormat="false" ht="23.25" hidden="false" customHeight="true" outlineLevel="0" collapsed="false">
      <c r="A38" s="18" t="n">
        <v>36</v>
      </c>
      <c r="B38" s="18" t="s">
        <v>150</v>
      </c>
      <c r="C38" s="18" t="s">
        <v>619</v>
      </c>
      <c r="D38" s="18" t="s">
        <v>620</v>
      </c>
      <c r="E38" s="18" t="s">
        <v>621</v>
      </c>
      <c r="F38" s="18" t="s">
        <v>622</v>
      </c>
      <c r="G38" s="18" t="s">
        <v>623</v>
      </c>
      <c r="H38" s="18" t="s">
        <v>624</v>
      </c>
      <c r="I38" s="18" t="s">
        <v>625</v>
      </c>
    </row>
    <row r="39" customFormat="false" ht="23.25" hidden="false" customHeight="true" outlineLevel="0" collapsed="false">
      <c r="A39" s="18" t="n">
        <v>37</v>
      </c>
      <c r="B39" s="18" t="s">
        <v>153</v>
      </c>
      <c r="C39" s="18" t="s">
        <v>626</v>
      </c>
      <c r="D39" s="18" t="s">
        <v>627</v>
      </c>
      <c r="E39" s="18" t="s">
        <v>628</v>
      </c>
      <c r="F39" s="18" t="s">
        <v>629</v>
      </c>
      <c r="G39" s="18" t="s">
        <v>630</v>
      </c>
      <c r="H39" s="18" t="s">
        <v>631</v>
      </c>
      <c r="I39" s="18" t="s">
        <v>632</v>
      </c>
    </row>
    <row r="40" customFormat="false" ht="34.5" hidden="false" customHeight="true" outlineLevel="0" collapsed="false">
      <c r="A40" s="18" t="n">
        <v>38</v>
      </c>
      <c r="B40" s="18" t="s">
        <v>154</v>
      </c>
      <c r="C40" s="18" t="s">
        <v>633</v>
      </c>
      <c r="D40" s="18" t="s">
        <v>634</v>
      </c>
      <c r="E40" s="18" t="s">
        <v>635</v>
      </c>
      <c r="F40" s="18" t="s">
        <v>636</v>
      </c>
      <c r="G40" s="18" t="s">
        <v>637</v>
      </c>
      <c r="H40" s="18" t="s">
        <v>638</v>
      </c>
      <c r="I40" s="18" t="s">
        <v>639</v>
      </c>
    </row>
    <row r="41" customFormat="false" ht="23.25" hidden="false" customHeight="true" outlineLevel="0" collapsed="false">
      <c r="A41" s="18" t="n">
        <v>39</v>
      </c>
      <c r="B41" s="18" t="s">
        <v>157</v>
      </c>
      <c r="C41" s="18" t="s">
        <v>640</v>
      </c>
      <c r="D41" s="18" t="s">
        <v>641</v>
      </c>
      <c r="E41" s="18" t="s">
        <v>642</v>
      </c>
      <c r="F41" s="18" t="s">
        <v>643</v>
      </c>
      <c r="G41" s="18" t="s">
        <v>644</v>
      </c>
      <c r="H41" s="18" t="s">
        <v>645</v>
      </c>
      <c r="I41" s="18" t="s">
        <v>646</v>
      </c>
    </row>
    <row r="42" customFormat="false" ht="34.5" hidden="false" customHeight="true" outlineLevel="0" collapsed="false">
      <c r="A42" s="18" t="n">
        <v>40</v>
      </c>
      <c r="B42" s="18" t="s">
        <v>160</v>
      </c>
      <c r="C42" s="18" t="s">
        <v>647</v>
      </c>
      <c r="D42" s="18" t="s">
        <v>648</v>
      </c>
      <c r="E42" s="18" t="s">
        <v>649</v>
      </c>
      <c r="F42" s="18" t="s">
        <v>650</v>
      </c>
      <c r="G42" s="18" t="s">
        <v>651</v>
      </c>
      <c r="H42" s="18" t="s">
        <v>652</v>
      </c>
      <c r="I42" s="18" t="s">
        <v>653</v>
      </c>
    </row>
    <row r="43" customFormat="false" ht="34.5" hidden="false" customHeight="true" outlineLevel="0" collapsed="false">
      <c r="A43" s="20" t="n">
        <v>41</v>
      </c>
      <c r="B43" s="20" t="s">
        <v>165</v>
      </c>
      <c r="C43" s="20" t="s">
        <v>654</v>
      </c>
      <c r="D43" s="20" t="s">
        <v>655</v>
      </c>
      <c r="E43" s="20" t="s">
        <v>656</v>
      </c>
      <c r="F43" s="20" t="s">
        <v>643</v>
      </c>
      <c r="G43" s="20" t="s">
        <v>657</v>
      </c>
      <c r="H43" s="20" t="s">
        <v>658</v>
      </c>
      <c r="I43" s="20" t="s">
        <v>659</v>
      </c>
    </row>
    <row r="44" customFormat="false" ht="23.25" hidden="false" customHeight="true" outlineLevel="0" collapsed="false">
      <c r="A44" s="20" t="n">
        <v>42</v>
      </c>
      <c r="B44" s="20" t="s">
        <v>168</v>
      </c>
      <c r="C44" s="20" t="s">
        <v>660</v>
      </c>
      <c r="D44" s="20" t="s">
        <v>661</v>
      </c>
      <c r="E44" s="20" t="s">
        <v>662</v>
      </c>
      <c r="F44" s="20" t="s">
        <v>663</v>
      </c>
      <c r="G44" s="20" t="s">
        <v>664</v>
      </c>
      <c r="H44" s="20" t="s">
        <v>665</v>
      </c>
      <c r="I44" s="20" t="s">
        <v>666</v>
      </c>
    </row>
    <row r="45" customFormat="false" ht="23.25" hidden="false" customHeight="true" outlineLevel="0" collapsed="false">
      <c r="A45" s="20" t="n">
        <v>43</v>
      </c>
      <c r="B45" s="20" t="s">
        <v>172</v>
      </c>
      <c r="C45" s="20" t="s">
        <v>667</v>
      </c>
      <c r="D45" s="20" t="s">
        <v>668</v>
      </c>
      <c r="E45" s="20" t="s">
        <v>669</v>
      </c>
      <c r="F45" s="20" t="s">
        <v>670</v>
      </c>
      <c r="G45" s="20" t="s">
        <v>671</v>
      </c>
      <c r="H45" s="20" t="s">
        <v>672</v>
      </c>
      <c r="I45" s="20" t="s">
        <v>673</v>
      </c>
    </row>
    <row r="46" customFormat="false" ht="23.25" hidden="false" customHeight="true" outlineLevel="0" collapsed="false">
      <c r="A46" s="20" t="n">
        <v>44</v>
      </c>
      <c r="B46" s="20" t="s">
        <v>174</v>
      </c>
      <c r="C46" s="20" t="s">
        <v>674</v>
      </c>
      <c r="D46" s="20" t="s">
        <v>675</v>
      </c>
      <c r="E46" s="20" t="s">
        <v>676</v>
      </c>
      <c r="F46" s="20" t="s">
        <v>677</v>
      </c>
      <c r="G46" s="20" t="s">
        <v>678</v>
      </c>
      <c r="H46" s="20" t="s">
        <v>679</v>
      </c>
      <c r="I46" s="20" t="s">
        <v>680</v>
      </c>
    </row>
    <row r="47" customFormat="false" ht="23.25" hidden="false" customHeight="true" outlineLevel="0" collapsed="false">
      <c r="A47" s="20" t="n">
        <v>45</v>
      </c>
      <c r="B47" s="20" t="s">
        <v>177</v>
      </c>
      <c r="C47" s="20" t="s">
        <v>681</v>
      </c>
      <c r="D47" s="20" t="s">
        <v>682</v>
      </c>
      <c r="E47" s="20" t="s">
        <v>683</v>
      </c>
      <c r="F47" s="20" t="s">
        <v>684</v>
      </c>
      <c r="G47" s="20" t="s">
        <v>657</v>
      </c>
      <c r="H47" s="20" t="s">
        <v>685</v>
      </c>
      <c r="I47" s="20" t="s">
        <v>686</v>
      </c>
    </row>
    <row r="48" customFormat="false" ht="23.25" hidden="false" customHeight="true" outlineLevel="0" collapsed="false">
      <c r="A48" s="20" t="n">
        <v>46</v>
      </c>
      <c r="B48" s="20" t="s">
        <v>180</v>
      </c>
      <c r="C48" s="20" t="s">
        <v>687</v>
      </c>
      <c r="D48" s="20" t="s">
        <v>688</v>
      </c>
      <c r="E48" s="20" t="s">
        <v>689</v>
      </c>
      <c r="F48" s="20" t="s">
        <v>690</v>
      </c>
      <c r="G48" s="20" t="s">
        <v>691</v>
      </c>
      <c r="H48" s="20" t="s">
        <v>692</v>
      </c>
      <c r="I48" s="20" t="s">
        <v>693</v>
      </c>
    </row>
    <row r="49" customFormat="false" ht="34.5" hidden="false" customHeight="true" outlineLevel="0" collapsed="false">
      <c r="A49" s="20" t="n">
        <v>47</v>
      </c>
      <c r="B49" s="20" t="s">
        <v>183</v>
      </c>
      <c r="C49" s="20" t="s">
        <v>694</v>
      </c>
      <c r="D49" s="20" t="s">
        <v>695</v>
      </c>
      <c r="E49" s="20" t="s">
        <v>696</v>
      </c>
      <c r="F49" s="20" t="s">
        <v>697</v>
      </c>
      <c r="G49" s="20" t="s">
        <v>698</v>
      </c>
      <c r="H49" s="20" t="s">
        <v>699</v>
      </c>
      <c r="I49" s="20" t="s">
        <v>700</v>
      </c>
    </row>
    <row r="50" customFormat="false" ht="34.5" hidden="false" customHeight="true" outlineLevel="0" collapsed="false">
      <c r="A50" s="20" t="n">
        <v>48</v>
      </c>
      <c r="B50" s="20" t="s">
        <v>187</v>
      </c>
      <c r="C50" s="20" t="s">
        <v>701</v>
      </c>
      <c r="D50" s="20" t="s">
        <v>702</v>
      </c>
      <c r="E50" s="20" t="s">
        <v>703</v>
      </c>
      <c r="F50" s="20" t="s">
        <v>629</v>
      </c>
      <c r="G50" s="20" t="s">
        <v>657</v>
      </c>
      <c r="H50" s="20" t="s">
        <v>704</v>
      </c>
      <c r="I50" s="20" t="s">
        <v>705</v>
      </c>
    </row>
    <row r="51" customFormat="false" ht="23.25" hidden="false" customHeight="true" outlineLevel="0" collapsed="false">
      <c r="A51" s="20" t="n">
        <v>49</v>
      </c>
      <c r="B51" s="20" t="s">
        <v>189</v>
      </c>
      <c r="C51" s="20" t="s">
        <v>706</v>
      </c>
      <c r="D51" s="20" t="s">
        <v>707</v>
      </c>
      <c r="E51" s="20" t="s">
        <v>708</v>
      </c>
      <c r="F51" s="20" t="s">
        <v>709</v>
      </c>
      <c r="G51" s="20" t="s">
        <v>710</v>
      </c>
      <c r="H51" s="20" t="s">
        <v>711</v>
      </c>
      <c r="I51" s="20" t="s">
        <v>712</v>
      </c>
    </row>
    <row r="52" customFormat="false" ht="34.5" hidden="false" customHeight="true" outlineLevel="0" collapsed="false">
      <c r="A52" s="20" t="n">
        <v>50</v>
      </c>
      <c r="B52" s="20" t="s">
        <v>192</v>
      </c>
      <c r="C52" s="20" t="s">
        <v>713</v>
      </c>
      <c r="D52" s="20" t="s">
        <v>714</v>
      </c>
      <c r="E52" s="20" t="s">
        <v>715</v>
      </c>
      <c r="F52" s="20" t="s">
        <v>716</v>
      </c>
      <c r="G52" s="20" t="s">
        <v>717</v>
      </c>
      <c r="H52" s="20" t="s">
        <v>718</v>
      </c>
      <c r="I52" s="20" t="s">
        <v>719</v>
      </c>
    </row>
    <row r="53" customFormat="false" ht="23.25" hidden="false" customHeight="true" outlineLevel="0" collapsed="false">
      <c r="A53" s="20" t="n">
        <v>51</v>
      </c>
      <c r="B53" s="20" t="s">
        <v>194</v>
      </c>
      <c r="C53" s="20" t="s">
        <v>720</v>
      </c>
      <c r="D53" s="20" t="s">
        <v>721</v>
      </c>
      <c r="E53" s="20" t="s">
        <v>722</v>
      </c>
      <c r="F53" s="20" t="s">
        <v>670</v>
      </c>
      <c r="G53" s="20" t="s">
        <v>723</v>
      </c>
      <c r="H53" s="20" t="s">
        <v>724</v>
      </c>
      <c r="I53" s="20" t="s">
        <v>725</v>
      </c>
    </row>
    <row r="54" customFormat="false" ht="23.25" hidden="false" customHeight="true" outlineLevel="0" collapsed="false">
      <c r="A54" s="20" t="n">
        <v>52</v>
      </c>
      <c r="B54" s="20" t="s">
        <v>198</v>
      </c>
      <c r="C54" s="20" t="s">
        <v>726</v>
      </c>
      <c r="D54" s="20" t="s">
        <v>727</v>
      </c>
      <c r="E54" s="20" t="s">
        <v>728</v>
      </c>
      <c r="F54" s="20" t="s">
        <v>729</v>
      </c>
      <c r="G54" s="20" t="s">
        <v>730</v>
      </c>
      <c r="H54" s="20" t="s">
        <v>731</v>
      </c>
      <c r="I54" s="20" t="s">
        <v>732</v>
      </c>
    </row>
    <row r="55" customFormat="false" ht="23.25" hidden="false" customHeight="true" outlineLevel="0" collapsed="false">
      <c r="A55" s="20" t="n">
        <v>53</v>
      </c>
      <c r="B55" s="20" t="s">
        <v>200</v>
      </c>
      <c r="C55" s="20" t="s">
        <v>733</v>
      </c>
      <c r="D55" s="20" t="s">
        <v>734</v>
      </c>
      <c r="E55" s="20" t="s">
        <v>735</v>
      </c>
      <c r="F55" s="20" t="s">
        <v>736</v>
      </c>
      <c r="G55" s="20" t="s">
        <v>737</v>
      </c>
      <c r="H55" s="20" t="s">
        <v>738</v>
      </c>
      <c r="I55" s="20" t="s">
        <v>739</v>
      </c>
    </row>
    <row r="56" customFormat="false" ht="23.25" hidden="false" customHeight="true" outlineLevel="0" collapsed="false">
      <c r="A56" s="20" t="n">
        <v>54</v>
      </c>
      <c r="B56" s="20" t="s">
        <v>202</v>
      </c>
      <c r="C56" s="20" t="s">
        <v>740</v>
      </c>
      <c r="D56" s="20" t="s">
        <v>741</v>
      </c>
      <c r="E56" s="20" t="s">
        <v>742</v>
      </c>
      <c r="F56" s="20" t="s">
        <v>743</v>
      </c>
      <c r="G56" s="20" t="s">
        <v>744</v>
      </c>
      <c r="H56" s="20" t="s">
        <v>745</v>
      </c>
      <c r="I56" s="20" t="s">
        <v>746</v>
      </c>
    </row>
    <row r="57" customFormat="false" ht="23.25" hidden="false" customHeight="true" outlineLevel="0" collapsed="false">
      <c r="A57" s="20" t="n">
        <v>55</v>
      </c>
      <c r="B57" s="20" t="s">
        <v>205</v>
      </c>
      <c r="C57" s="20" t="s">
        <v>747</v>
      </c>
      <c r="D57" s="20" t="s">
        <v>748</v>
      </c>
      <c r="E57" s="20" t="s">
        <v>749</v>
      </c>
      <c r="F57" s="20" t="s">
        <v>750</v>
      </c>
      <c r="G57" s="20" t="s">
        <v>751</v>
      </c>
      <c r="H57" s="20" t="s">
        <v>752</v>
      </c>
      <c r="I57" s="20" t="s">
        <v>753</v>
      </c>
    </row>
    <row r="58" customFormat="false" ht="34.5" hidden="false" customHeight="true" outlineLevel="0" collapsed="false">
      <c r="A58" s="20" t="n">
        <v>56</v>
      </c>
      <c r="B58" s="20" t="s">
        <v>206</v>
      </c>
      <c r="C58" s="20" t="s">
        <v>754</v>
      </c>
      <c r="D58" s="20" t="s">
        <v>755</v>
      </c>
      <c r="E58" s="20" t="s">
        <v>756</v>
      </c>
      <c r="F58" s="20" t="s">
        <v>729</v>
      </c>
      <c r="G58" s="20" t="s">
        <v>757</v>
      </c>
      <c r="H58" s="20" t="s">
        <v>758</v>
      </c>
      <c r="I58" s="20" t="s">
        <v>759</v>
      </c>
    </row>
    <row r="59" customFormat="false" ht="23.25" hidden="false" customHeight="true" outlineLevel="0" collapsed="false">
      <c r="A59" s="20" t="n">
        <v>57</v>
      </c>
      <c r="B59" s="20" t="s">
        <v>209</v>
      </c>
      <c r="C59" s="20" t="s">
        <v>760</v>
      </c>
      <c r="D59" s="20" t="s">
        <v>761</v>
      </c>
      <c r="E59" s="20" t="s">
        <v>762</v>
      </c>
      <c r="F59" s="20" t="s">
        <v>643</v>
      </c>
      <c r="G59" s="20" t="s">
        <v>751</v>
      </c>
      <c r="H59" s="20" t="s">
        <v>763</v>
      </c>
      <c r="I59" s="20" t="s">
        <v>764</v>
      </c>
    </row>
    <row r="60" customFormat="false" ht="34.5" hidden="false" customHeight="true" outlineLevel="0" collapsed="false">
      <c r="A60" s="20" t="n">
        <v>58</v>
      </c>
      <c r="B60" s="20" t="s">
        <v>210</v>
      </c>
      <c r="C60" s="20" t="s">
        <v>765</v>
      </c>
      <c r="D60" s="20" t="s">
        <v>766</v>
      </c>
      <c r="E60" s="20" t="s">
        <v>767</v>
      </c>
      <c r="F60" s="20" t="s">
        <v>670</v>
      </c>
      <c r="G60" s="20" t="s">
        <v>678</v>
      </c>
      <c r="H60" s="20" t="s">
        <v>768</v>
      </c>
      <c r="I60" s="20" t="s">
        <v>769</v>
      </c>
    </row>
    <row r="61" customFormat="false" ht="23.25" hidden="false" customHeight="true" outlineLevel="0" collapsed="false">
      <c r="A61" s="20" t="n">
        <v>59</v>
      </c>
      <c r="B61" s="20" t="s">
        <v>212</v>
      </c>
      <c r="C61" s="20" t="s">
        <v>770</v>
      </c>
      <c r="D61" s="20" t="s">
        <v>771</v>
      </c>
      <c r="E61" s="20" t="s">
        <v>772</v>
      </c>
      <c r="F61" s="20" t="s">
        <v>773</v>
      </c>
      <c r="G61" s="20" t="s">
        <v>774</v>
      </c>
      <c r="H61" s="20" t="s">
        <v>775</v>
      </c>
      <c r="I61" s="20" t="s">
        <v>776</v>
      </c>
    </row>
    <row r="62" customFormat="false" ht="23.25" hidden="false" customHeight="true" outlineLevel="0" collapsed="false">
      <c r="A62" s="20" t="n">
        <v>60</v>
      </c>
      <c r="B62" s="20" t="s">
        <v>214</v>
      </c>
      <c r="C62" s="20" t="s">
        <v>777</v>
      </c>
      <c r="D62" s="20" t="s">
        <v>778</v>
      </c>
      <c r="E62" s="20" t="s">
        <v>779</v>
      </c>
      <c r="F62" s="20" t="s">
        <v>643</v>
      </c>
      <c r="G62" s="20" t="s">
        <v>780</v>
      </c>
      <c r="H62" s="20" t="s">
        <v>781</v>
      </c>
      <c r="I62" s="20" t="s">
        <v>782</v>
      </c>
    </row>
    <row r="63" customFormat="false" ht="23.25" hidden="false" customHeight="true" outlineLevel="0" collapsed="false">
      <c r="A63" s="22" t="n">
        <v>61</v>
      </c>
      <c r="B63" s="22" t="s">
        <v>216</v>
      </c>
      <c r="C63" s="22" t="s">
        <v>783</v>
      </c>
      <c r="D63" s="22" t="s">
        <v>784</v>
      </c>
      <c r="E63" s="22" t="s">
        <v>785</v>
      </c>
      <c r="F63" s="22" t="s">
        <v>643</v>
      </c>
      <c r="G63" s="22" t="s">
        <v>786</v>
      </c>
      <c r="H63" s="22" t="s">
        <v>787</v>
      </c>
      <c r="I63" s="22" t="s">
        <v>788</v>
      </c>
    </row>
    <row r="64" customFormat="false" ht="23.25" hidden="false" customHeight="true" outlineLevel="0" collapsed="false">
      <c r="A64" s="22" t="n">
        <v>62</v>
      </c>
      <c r="B64" s="22" t="s">
        <v>218</v>
      </c>
      <c r="C64" s="22" t="s">
        <v>789</v>
      </c>
      <c r="D64" s="22" t="s">
        <v>790</v>
      </c>
      <c r="E64" s="22" t="s">
        <v>791</v>
      </c>
      <c r="F64" s="22" t="s">
        <v>792</v>
      </c>
      <c r="G64" s="22" t="s">
        <v>691</v>
      </c>
      <c r="H64" s="22" t="s">
        <v>793</v>
      </c>
      <c r="I64" s="22" t="s">
        <v>794</v>
      </c>
    </row>
    <row r="65" customFormat="false" ht="23.25" hidden="false" customHeight="true" outlineLevel="0" collapsed="false">
      <c r="A65" s="22" t="n">
        <v>63</v>
      </c>
      <c r="B65" s="22" t="s">
        <v>219</v>
      </c>
      <c r="C65" s="22" t="s">
        <v>795</v>
      </c>
      <c r="D65" s="22" t="s">
        <v>796</v>
      </c>
      <c r="E65" s="22" t="s">
        <v>797</v>
      </c>
      <c r="F65" s="22" t="s">
        <v>670</v>
      </c>
      <c r="G65" s="22" t="s">
        <v>798</v>
      </c>
      <c r="H65" s="22" t="s">
        <v>799</v>
      </c>
      <c r="I65" s="22" t="s">
        <v>800</v>
      </c>
    </row>
    <row r="66" customFormat="false" ht="34.5" hidden="false" customHeight="true" outlineLevel="0" collapsed="false">
      <c r="A66" s="22" t="n">
        <v>64</v>
      </c>
      <c r="B66" s="22" t="s">
        <v>221</v>
      </c>
      <c r="C66" s="22" t="s">
        <v>801</v>
      </c>
      <c r="D66" s="22" t="s">
        <v>802</v>
      </c>
      <c r="E66" s="22" t="s">
        <v>803</v>
      </c>
      <c r="F66" s="22" t="s">
        <v>804</v>
      </c>
      <c r="G66" s="22" t="s">
        <v>805</v>
      </c>
      <c r="H66" s="22" t="s">
        <v>806</v>
      </c>
      <c r="I66" s="22" t="s">
        <v>807</v>
      </c>
    </row>
    <row r="67" customFormat="false" ht="34.5" hidden="false" customHeight="true" outlineLevel="0" collapsed="false">
      <c r="A67" s="22" t="n">
        <v>65</v>
      </c>
      <c r="B67" s="22" t="s">
        <v>225</v>
      </c>
      <c r="C67" s="22" t="s">
        <v>808</v>
      </c>
      <c r="D67" s="22" t="s">
        <v>809</v>
      </c>
      <c r="E67" s="22" t="s">
        <v>810</v>
      </c>
      <c r="F67" s="22" t="s">
        <v>677</v>
      </c>
      <c r="G67" s="22" t="s">
        <v>811</v>
      </c>
      <c r="H67" s="22" t="s">
        <v>812</v>
      </c>
      <c r="I67" s="22" t="s">
        <v>813</v>
      </c>
    </row>
    <row r="68" customFormat="false" ht="34.5" hidden="false" customHeight="true" outlineLevel="0" collapsed="false">
      <c r="A68" s="22" t="n">
        <v>66</v>
      </c>
      <c r="B68" s="22" t="s">
        <v>227</v>
      </c>
      <c r="C68" s="22" t="s">
        <v>814</v>
      </c>
      <c r="D68" s="22" t="s">
        <v>815</v>
      </c>
      <c r="E68" s="22" t="s">
        <v>816</v>
      </c>
      <c r="F68" s="22" t="s">
        <v>629</v>
      </c>
      <c r="G68" s="22" t="s">
        <v>588</v>
      </c>
      <c r="H68" s="22" t="s">
        <v>817</v>
      </c>
      <c r="I68" s="22" t="s">
        <v>818</v>
      </c>
    </row>
    <row r="69" customFormat="false" ht="23.25" hidden="false" customHeight="true" outlineLevel="0" collapsed="false">
      <c r="A69" s="22" t="n">
        <v>67</v>
      </c>
      <c r="B69" s="22" t="s">
        <v>229</v>
      </c>
      <c r="C69" s="22" t="s">
        <v>819</v>
      </c>
      <c r="D69" s="22" t="s">
        <v>820</v>
      </c>
      <c r="E69" s="22" t="s">
        <v>821</v>
      </c>
      <c r="F69" s="22" t="s">
        <v>670</v>
      </c>
      <c r="G69" s="22" t="s">
        <v>822</v>
      </c>
      <c r="H69" s="22" t="s">
        <v>823</v>
      </c>
      <c r="I69" s="22" t="s">
        <v>824</v>
      </c>
    </row>
    <row r="70" customFormat="false" ht="23.25" hidden="false" customHeight="true" outlineLevel="0" collapsed="false">
      <c r="A70" s="22" t="n">
        <v>68</v>
      </c>
      <c r="B70" s="22" t="s">
        <v>231</v>
      </c>
      <c r="C70" s="22" t="s">
        <v>825</v>
      </c>
      <c r="D70" s="22" t="s">
        <v>826</v>
      </c>
      <c r="E70" s="22" t="s">
        <v>827</v>
      </c>
      <c r="F70" s="22" t="s">
        <v>670</v>
      </c>
      <c r="G70" s="22" t="s">
        <v>828</v>
      </c>
      <c r="H70" s="22" t="s">
        <v>829</v>
      </c>
      <c r="I70" s="22" t="s">
        <v>830</v>
      </c>
    </row>
    <row r="71" customFormat="false" ht="34.5" hidden="false" customHeight="true" outlineLevel="0" collapsed="false">
      <c r="A71" s="22" t="n">
        <v>69</v>
      </c>
      <c r="B71" s="22" t="s">
        <v>233</v>
      </c>
      <c r="C71" s="22" t="s">
        <v>831</v>
      </c>
      <c r="D71" s="22" t="s">
        <v>832</v>
      </c>
      <c r="E71" s="22" t="s">
        <v>833</v>
      </c>
      <c r="F71" s="22" t="s">
        <v>729</v>
      </c>
      <c r="G71" s="22" t="s">
        <v>834</v>
      </c>
      <c r="H71" s="22" t="s">
        <v>835</v>
      </c>
      <c r="I71" s="22" t="s">
        <v>836</v>
      </c>
    </row>
    <row r="72" customFormat="false" ht="34.5" hidden="false" customHeight="true" outlineLevel="0" collapsed="false">
      <c r="A72" s="22" t="n">
        <v>70</v>
      </c>
      <c r="B72" s="22" t="s">
        <v>236</v>
      </c>
      <c r="C72" s="22" t="s">
        <v>837</v>
      </c>
      <c r="D72" s="22" t="s">
        <v>838</v>
      </c>
      <c r="E72" s="22" t="s">
        <v>839</v>
      </c>
      <c r="F72" s="22" t="s">
        <v>643</v>
      </c>
      <c r="G72" s="22" t="s">
        <v>840</v>
      </c>
      <c r="H72" s="22" t="s">
        <v>841</v>
      </c>
      <c r="I72" s="22" t="s">
        <v>842</v>
      </c>
    </row>
    <row r="73" customFormat="false" ht="34.5" hidden="false" customHeight="true" outlineLevel="0" collapsed="false">
      <c r="A73" s="24" t="n">
        <v>71</v>
      </c>
      <c r="B73" s="24" t="s">
        <v>238</v>
      </c>
      <c r="C73" s="24" t="s">
        <v>843</v>
      </c>
      <c r="D73" s="24" t="s">
        <v>844</v>
      </c>
      <c r="E73" s="24" t="s">
        <v>845</v>
      </c>
      <c r="F73" s="24" t="s">
        <v>643</v>
      </c>
      <c r="G73" s="24" t="s">
        <v>678</v>
      </c>
      <c r="H73" s="24" t="s">
        <v>846</v>
      </c>
      <c r="I73" s="24" t="s">
        <v>847</v>
      </c>
    </row>
    <row r="74" customFormat="false" ht="23.25" hidden="false" customHeight="true" outlineLevel="0" collapsed="false">
      <c r="A74" s="24" t="n">
        <v>72</v>
      </c>
      <c r="B74" s="24" t="s">
        <v>240</v>
      </c>
      <c r="C74" s="24" t="s">
        <v>848</v>
      </c>
      <c r="D74" s="24" t="s">
        <v>849</v>
      </c>
      <c r="E74" s="24" t="s">
        <v>850</v>
      </c>
      <c r="F74" s="24" t="s">
        <v>677</v>
      </c>
      <c r="G74" s="24" t="s">
        <v>851</v>
      </c>
      <c r="H74" s="24" t="s">
        <v>852</v>
      </c>
      <c r="I74" s="24" t="s">
        <v>853</v>
      </c>
    </row>
    <row r="75" customFormat="false" ht="23.25" hidden="false" customHeight="true" outlineLevel="0" collapsed="false">
      <c r="A75" s="24" t="n">
        <v>73</v>
      </c>
      <c r="B75" s="24" t="s">
        <v>242</v>
      </c>
      <c r="C75" s="24" t="s">
        <v>854</v>
      </c>
      <c r="D75" s="24" t="s">
        <v>855</v>
      </c>
      <c r="E75" s="24" t="s">
        <v>856</v>
      </c>
      <c r="F75" s="24" t="s">
        <v>629</v>
      </c>
      <c r="G75" s="24" t="s">
        <v>857</v>
      </c>
      <c r="H75" s="24" t="s">
        <v>858</v>
      </c>
      <c r="I75" s="24" t="s">
        <v>859</v>
      </c>
    </row>
    <row r="76" customFormat="false" ht="23.25" hidden="false" customHeight="true" outlineLevel="0" collapsed="false">
      <c r="A76" s="24" t="n">
        <v>74</v>
      </c>
      <c r="B76" s="24" t="s">
        <v>244</v>
      </c>
      <c r="C76" s="24" t="s">
        <v>860</v>
      </c>
      <c r="D76" s="24" t="s">
        <v>861</v>
      </c>
      <c r="E76" s="24" t="s">
        <v>862</v>
      </c>
      <c r="F76" s="24" t="s">
        <v>677</v>
      </c>
      <c r="G76" s="24" t="s">
        <v>863</v>
      </c>
      <c r="H76" s="24" t="s">
        <v>864</v>
      </c>
      <c r="I76" s="24" t="s">
        <v>865</v>
      </c>
    </row>
    <row r="77" customFormat="false" ht="34.5" hidden="false" customHeight="true" outlineLevel="0" collapsed="false">
      <c r="A77" s="24" t="n">
        <v>75</v>
      </c>
      <c r="B77" s="24" t="s">
        <v>247</v>
      </c>
      <c r="C77" s="24" t="s">
        <v>866</v>
      </c>
      <c r="D77" s="24" t="s">
        <v>867</v>
      </c>
      <c r="E77" s="24" t="s">
        <v>868</v>
      </c>
      <c r="F77" s="24" t="s">
        <v>670</v>
      </c>
      <c r="G77" s="24" t="s">
        <v>751</v>
      </c>
      <c r="H77" s="24" t="s">
        <v>869</v>
      </c>
      <c r="I77" s="24" t="s">
        <v>870</v>
      </c>
    </row>
    <row r="78" customFormat="false" ht="34.5" hidden="false" customHeight="true" outlineLevel="0" collapsed="false">
      <c r="A78" s="24" t="n">
        <v>76</v>
      </c>
      <c r="B78" s="24" t="s">
        <v>249</v>
      </c>
      <c r="C78" s="24" t="s">
        <v>871</v>
      </c>
      <c r="D78" s="24" t="s">
        <v>872</v>
      </c>
      <c r="E78" s="24" t="s">
        <v>873</v>
      </c>
      <c r="F78" s="24" t="s">
        <v>629</v>
      </c>
      <c r="G78" s="24" t="s">
        <v>623</v>
      </c>
      <c r="H78" s="24" t="s">
        <v>874</v>
      </c>
      <c r="I78" s="24" t="s">
        <v>875</v>
      </c>
    </row>
    <row r="79" customFormat="false" ht="23.25" hidden="false" customHeight="true" outlineLevel="0" collapsed="false">
      <c r="A79" s="24" t="n">
        <v>77</v>
      </c>
      <c r="B79" s="24" t="s">
        <v>251</v>
      </c>
      <c r="C79" s="24" t="s">
        <v>876</v>
      </c>
      <c r="D79" s="24" t="s">
        <v>877</v>
      </c>
      <c r="E79" s="24" t="s">
        <v>878</v>
      </c>
      <c r="F79" s="24" t="s">
        <v>879</v>
      </c>
      <c r="G79" s="24" t="s">
        <v>880</v>
      </c>
      <c r="H79" s="24" t="s">
        <v>806</v>
      </c>
      <c r="I79" s="24" t="s">
        <v>881</v>
      </c>
    </row>
    <row r="80" customFormat="false" ht="23.25" hidden="false" customHeight="true" outlineLevel="0" collapsed="false">
      <c r="A80" s="24" t="n">
        <v>78</v>
      </c>
      <c r="B80" s="24" t="s">
        <v>254</v>
      </c>
      <c r="C80" s="24" t="s">
        <v>882</v>
      </c>
      <c r="D80" s="24" t="s">
        <v>883</v>
      </c>
      <c r="E80" s="24" t="s">
        <v>884</v>
      </c>
      <c r="F80" s="24" t="s">
        <v>729</v>
      </c>
      <c r="G80" s="24" t="s">
        <v>885</v>
      </c>
      <c r="H80" s="24" t="s">
        <v>886</v>
      </c>
      <c r="I80" s="24" t="s">
        <v>887</v>
      </c>
    </row>
    <row r="81" customFormat="false" ht="34.5" hidden="false" customHeight="true" outlineLevel="0" collapsed="false">
      <c r="A81" s="24" t="n">
        <v>79</v>
      </c>
      <c r="B81" s="24" t="s">
        <v>256</v>
      </c>
      <c r="C81" s="24" t="s">
        <v>888</v>
      </c>
      <c r="D81" s="24" t="s">
        <v>889</v>
      </c>
      <c r="E81" s="24" t="s">
        <v>890</v>
      </c>
      <c r="F81" s="24" t="s">
        <v>643</v>
      </c>
      <c r="G81" s="24" t="s">
        <v>891</v>
      </c>
      <c r="H81" s="24" t="s">
        <v>892</v>
      </c>
      <c r="I81" s="24" t="s">
        <v>893</v>
      </c>
    </row>
    <row r="82" customFormat="false" ht="34.5" hidden="false" customHeight="true" outlineLevel="0" collapsed="false">
      <c r="A82" s="24" t="n">
        <v>80</v>
      </c>
      <c r="B82" s="24" t="s">
        <v>258</v>
      </c>
      <c r="C82" s="24" t="s">
        <v>894</v>
      </c>
      <c r="D82" s="24" t="s">
        <v>895</v>
      </c>
      <c r="E82" s="24" t="s">
        <v>896</v>
      </c>
      <c r="F82" s="24" t="s">
        <v>897</v>
      </c>
      <c r="G82" s="24" t="s">
        <v>898</v>
      </c>
      <c r="H82" s="24" t="s">
        <v>899</v>
      </c>
      <c r="I82" s="24" t="s">
        <v>900</v>
      </c>
    </row>
    <row r="83" customFormat="false" ht="23.25" hidden="false" customHeight="true" outlineLevel="0" collapsed="false">
      <c r="A83" s="26" t="n">
        <v>81</v>
      </c>
      <c r="B83" s="26" t="s">
        <v>261</v>
      </c>
      <c r="C83" s="26" t="s">
        <v>901</v>
      </c>
      <c r="D83" s="26" t="s">
        <v>613</v>
      </c>
      <c r="E83" s="26" t="s">
        <v>902</v>
      </c>
      <c r="F83" s="26" t="s">
        <v>903</v>
      </c>
      <c r="G83" s="26" t="s">
        <v>678</v>
      </c>
      <c r="H83" s="26" t="s">
        <v>904</v>
      </c>
      <c r="I83" s="26" t="s">
        <v>905</v>
      </c>
    </row>
    <row r="84" customFormat="false" ht="23.25" hidden="false" customHeight="true" outlineLevel="0" collapsed="false">
      <c r="A84" s="26" t="n">
        <v>82</v>
      </c>
      <c r="B84" s="26" t="s">
        <v>263</v>
      </c>
      <c r="C84" s="26" t="s">
        <v>906</v>
      </c>
      <c r="D84" s="26" t="s">
        <v>907</v>
      </c>
      <c r="E84" s="26" t="s">
        <v>908</v>
      </c>
      <c r="F84" s="26" t="s">
        <v>909</v>
      </c>
      <c r="G84" s="26" t="s">
        <v>910</v>
      </c>
      <c r="H84" s="26" t="s">
        <v>911</v>
      </c>
      <c r="I84" s="26" t="s">
        <v>912</v>
      </c>
    </row>
    <row r="85" customFormat="false" ht="23.25" hidden="false" customHeight="true" outlineLevel="0" collapsed="false">
      <c r="A85" s="26" t="n">
        <v>83</v>
      </c>
      <c r="B85" s="26" t="s">
        <v>266</v>
      </c>
      <c r="C85" s="26" t="s">
        <v>913</v>
      </c>
      <c r="D85" s="26" t="s">
        <v>914</v>
      </c>
      <c r="E85" s="26" t="s">
        <v>915</v>
      </c>
      <c r="F85" s="26" t="s">
        <v>916</v>
      </c>
      <c r="G85" s="26" t="s">
        <v>917</v>
      </c>
      <c r="H85" s="26" t="s">
        <v>918</v>
      </c>
      <c r="I85" s="26" t="s">
        <v>919</v>
      </c>
    </row>
    <row r="86" customFormat="false" ht="23.25" hidden="false" customHeight="true" outlineLevel="0" collapsed="false">
      <c r="A86" s="26" t="n">
        <v>84</v>
      </c>
      <c r="B86" s="26" t="s">
        <v>270</v>
      </c>
      <c r="C86" s="26" t="s">
        <v>920</v>
      </c>
      <c r="D86" s="26" t="s">
        <v>921</v>
      </c>
      <c r="E86" s="26" t="s">
        <v>922</v>
      </c>
      <c r="F86" s="26" t="s">
        <v>903</v>
      </c>
      <c r="G86" s="26" t="s">
        <v>923</v>
      </c>
      <c r="H86" s="26" t="s">
        <v>924</v>
      </c>
      <c r="I86" s="26" t="s">
        <v>925</v>
      </c>
    </row>
    <row r="87" customFormat="false" ht="34.5" hidden="false" customHeight="true" outlineLevel="0" collapsed="false">
      <c r="A87" s="26" t="n">
        <v>85</v>
      </c>
      <c r="B87" s="26" t="s">
        <v>271</v>
      </c>
      <c r="C87" s="26" t="s">
        <v>926</v>
      </c>
      <c r="D87" s="26" t="s">
        <v>927</v>
      </c>
      <c r="E87" s="26" t="s">
        <v>928</v>
      </c>
      <c r="F87" s="26" t="s">
        <v>929</v>
      </c>
      <c r="G87" s="26" t="s">
        <v>930</v>
      </c>
      <c r="H87" s="26" t="s">
        <v>931</v>
      </c>
      <c r="I87" s="26" t="s">
        <v>932</v>
      </c>
    </row>
    <row r="88" customFormat="false" ht="23.25" hidden="false" customHeight="true" outlineLevel="0" collapsed="false">
      <c r="A88" s="26" t="n">
        <v>86</v>
      </c>
      <c r="B88" s="26" t="s">
        <v>273</v>
      </c>
      <c r="C88" s="26" t="s">
        <v>933</v>
      </c>
      <c r="D88" s="26" t="s">
        <v>934</v>
      </c>
      <c r="E88" s="26" t="s">
        <v>935</v>
      </c>
      <c r="F88" s="26" t="s">
        <v>615</v>
      </c>
      <c r="G88" s="26" t="s">
        <v>744</v>
      </c>
      <c r="H88" s="26" t="s">
        <v>936</v>
      </c>
      <c r="I88" s="26" t="s">
        <v>937</v>
      </c>
    </row>
    <row r="89" customFormat="false" ht="34.5" hidden="false" customHeight="true" outlineLevel="0" collapsed="false">
      <c r="A89" s="26" t="n">
        <v>87</v>
      </c>
      <c r="B89" s="26" t="s">
        <v>275</v>
      </c>
      <c r="C89" s="26" t="s">
        <v>938</v>
      </c>
      <c r="D89" s="26" t="s">
        <v>939</v>
      </c>
      <c r="E89" s="26" t="s">
        <v>940</v>
      </c>
      <c r="F89" s="26" t="s">
        <v>903</v>
      </c>
      <c r="G89" s="26" t="s">
        <v>941</v>
      </c>
      <c r="H89" s="26" t="s">
        <v>942</v>
      </c>
      <c r="I89" s="26" t="s">
        <v>943</v>
      </c>
    </row>
    <row r="90" customFormat="false" ht="23.25" hidden="false" customHeight="true" outlineLevel="0" collapsed="false">
      <c r="A90" s="26" t="n">
        <v>88</v>
      </c>
      <c r="B90" s="26" t="s">
        <v>277</v>
      </c>
      <c r="C90" s="26" t="s">
        <v>944</v>
      </c>
      <c r="D90" s="26" t="s">
        <v>945</v>
      </c>
      <c r="E90" s="26" t="s">
        <v>946</v>
      </c>
      <c r="F90" s="26" t="s">
        <v>947</v>
      </c>
      <c r="G90" s="26" t="s">
        <v>948</v>
      </c>
      <c r="H90" s="26" t="s">
        <v>949</v>
      </c>
      <c r="I90" s="26" t="s">
        <v>950</v>
      </c>
    </row>
    <row r="91" customFormat="false" ht="34.5" hidden="false" customHeight="true" outlineLevel="0" collapsed="false">
      <c r="A91" s="26" t="n">
        <v>89</v>
      </c>
      <c r="B91" s="26" t="s">
        <v>279</v>
      </c>
      <c r="C91" s="26" t="s">
        <v>951</v>
      </c>
      <c r="D91" s="26" t="s">
        <v>914</v>
      </c>
      <c r="E91" s="26" t="s">
        <v>952</v>
      </c>
      <c r="F91" s="26" t="s">
        <v>670</v>
      </c>
      <c r="G91" s="26" t="s">
        <v>751</v>
      </c>
      <c r="H91" s="26" t="s">
        <v>953</v>
      </c>
      <c r="I91" s="26" t="s">
        <v>954</v>
      </c>
    </row>
    <row r="92" customFormat="false" ht="34.5" hidden="false" customHeight="true" outlineLevel="0" collapsed="false">
      <c r="A92" s="26" t="n">
        <v>90</v>
      </c>
      <c r="B92" s="26" t="s">
        <v>280</v>
      </c>
      <c r="C92" s="26" t="s">
        <v>955</v>
      </c>
      <c r="D92" s="26" t="s">
        <v>956</v>
      </c>
      <c r="E92" s="26" t="s">
        <v>957</v>
      </c>
      <c r="F92" s="26" t="s">
        <v>670</v>
      </c>
      <c r="G92" s="26" t="s">
        <v>958</v>
      </c>
      <c r="H92" s="26" t="s">
        <v>899</v>
      </c>
      <c r="I92" s="26" t="s">
        <v>959</v>
      </c>
    </row>
    <row r="93" customFormat="false" ht="21.75" hidden="false" customHeight="true" outlineLevel="0" collapsed="false">
      <c r="A93" s="15" t="n">
        <v>30</v>
      </c>
      <c r="B93" s="15" t="s">
        <v>131</v>
      </c>
      <c r="C93" s="16" t="s">
        <v>960</v>
      </c>
      <c r="D93" s="16" t="s">
        <v>961</v>
      </c>
      <c r="E93" s="16" t="s">
        <v>962</v>
      </c>
      <c r="F93" s="16" t="s">
        <v>963</v>
      </c>
      <c r="G93" s="16" t="s">
        <v>964</v>
      </c>
      <c r="H93" s="16" t="s">
        <v>965</v>
      </c>
      <c r="I93" s="16" t="s">
        <v>966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30"/>
    <col collapsed="false" customWidth="true" hidden="false" outlineLevel="0" max="3" min="3" style="1" width="35"/>
    <col collapsed="false" customWidth="true" hidden="false" outlineLevel="0" max="4" min="4" style="1" width="20"/>
    <col collapsed="false" customWidth="true" hidden="false" outlineLevel="0" max="5" min="5" style="1" width="22"/>
    <col collapsed="false" customWidth="true" hidden="false" outlineLevel="0" max="6" min="6" style="1" width="18"/>
  </cols>
  <sheetData>
    <row r="1" customFormat="false" ht="31.5" hidden="false" customHeight="true" outlineLevel="0" collapsed="false">
      <c r="A1" s="83" t="s">
        <v>967</v>
      </c>
      <c r="B1" s="83"/>
      <c r="C1" s="83"/>
      <c r="D1" s="83"/>
      <c r="E1" s="83"/>
      <c r="F1" s="83"/>
    </row>
    <row r="2" customFormat="false" ht="19.5" hidden="false" customHeight="true" outlineLevel="0" collapsed="false">
      <c r="A2" s="84" t="s">
        <v>968</v>
      </c>
      <c r="B2" s="85"/>
      <c r="C2" s="85"/>
      <c r="D2" s="85"/>
      <c r="E2" s="85"/>
      <c r="F2" s="85"/>
    </row>
    <row r="3" customFormat="false" ht="19.5" hidden="false" customHeight="true" outlineLevel="0" collapsed="false">
      <c r="A3" s="85" t="s">
        <v>969</v>
      </c>
      <c r="B3" s="85" t="s">
        <v>970</v>
      </c>
      <c r="C3" s="85" t="s">
        <v>971</v>
      </c>
      <c r="D3" s="85"/>
      <c r="E3" s="85"/>
      <c r="F3" s="85"/>
    </row>
    <row r="4" customFormat="false" ht="19.5" hidden="false" customHeight="true" outlineLevel="0" collapsed="false">
      <c r="A4" s="85" t="s">
        <v>972</v>
      </c>
      <c r="B4" s="85" t="s">
        <v>973</v>
      </c>
      <c r="C4" s="85" t="s">
        <v>974</v>
      </c>
      <c r="D4" s="85"/>
      <c r="E4" s="85"/>
      <c r="F4" s="85"/>
    </row>
    <row r="5" customFormat="false" ht="19.5" hidden="false" customHeight="true" outlineLevel="0" collapsed="false">
      <c r="A5" s="85" t="s">
        <v>975</v>
      </c>
      <c r="B5" s="85" t="s">
        <v>976</v>
      </c>
      <c r="C5" s="85" t="s">
        <v>977</v>
      </c>
      <c r="D5" s="85"/>
      <c r="E5" s="85"/>
      <c r="F5" s="85"/>
    </row>
    <row r="6" customFormat="false" ht="19.5" hidden="false" customHeight="true" outlineLevel="0" collapsed="false">
      <c r="A6" s="85" t="s">
        <v>978</v>
      </c>
      <c r="B6" s="85" t="s">
        <v>979</v>
      </c>
      <c r="C6" s="85" t="s">
        <v>980</v>
      </c>
      <c r="D6" s="85"/>
      <c r="E6" s="85"/>
      <c r="F6" s="85"/>
    </row>
    <row r="7" customFormat="false" ht="19.5" hidden="false" customHeight="true" outlineLevel="0" collapsed="false">
      <c r="A7" s="85" t="s">
        <v>981</v>
      </c>
      <c r="B7" s="85" t="s">
        <v>982</v>
      </c>
      <c r="C7" s="85" t="s">
        <v>983</v>
      </c>
      <c r="D7" s="85"/>
      <c r="E7" s="85"/>
      <c r="F7" s="85"/>
    </row>
    <row r="8" customFormat="false" ht="19.5" hidden="false" customHeight="true" outlineLevel="0" collapsed="false">
      <c r="A8" s="85" t="s">
        <v>984</v>
      </c>
      <c r="B8" s="85" t="s">
        <v>985</v>
      </c>
      <c r="C8" s="85" t="s">
        <v>986</v>
      </c>
      <c r="D8" s="85"/>
      <c r="E8" s="85"/>
      <c r="F8" s="85"/>
    </row>
    <row r="9" customFormat="false" ht="19.5" hidden="false" customHeight="true" outlineLevel="0" collapsed="false">
      <c r="A9" s="85"/>
      <c r="B9" s="85"/>
      <c r="C9" s="85"/>
      <c r="D9" s="85"/>
      <c r="E9" s="85"/>
      <c r="F9" s="85"/>
    </row>
    <row r="10" customFormat="false" ht="19.5" hidden="false" customHeight="true" outlineLevel="0" collapsed="false">
      <c r="A10" s="84" t="s">
        <v>987</v>
      </c>
      <c r="B10" s="85"/>
      <c r="C10" s="85"/>
      <c r="D10" s="85"/>
      <c r="E10" s="85"/>
      <c r="F10" s="85"/>
    </row>
    <row r="11" customFormat="false" ht="19.5" hidden="false" customHeight="true" outlineLevel="0" collapsed="false">
      <c r="A11" s="86" t="s">
        <v>988</v>
      </c>
      <c r="B11" s="85" t="s">
        <v>989</v>
      </c>
      <c r="C11" s="85" t="s">
        <v>990</v>
      </c>
      <c r="D11" s="85" t="s">
        <v>991</v>
      </c>
      <c r="E11" s="85" t="s">
        <v>992</v>
      </c>
      <c r="F11" s="85" t="s">
        <v>993</v>
      </c>
    </row>
    <row r="12" customFormat="false" ht="19.5" hidden="false" customHeight="true" outlineLevel="0" collapsed="false">
      <c r="A12" s="85" t="s">
        <v>367</v>
      </c>
      <c r="B12" s="85" t="s">
        <v>994</v>
      </c>
      <c r="C12" s="85" t="s">
        <v>995</v>
      </c>
      <c r="D12" s="85" t="s">
        <v>996</v>
      </c>
      <c r="E12" s="85" t="s">
        <v>997</v>
      </c>
      <c r="F12" s="85" t="s">
        <v>998</v>
      </c>
    </row>
    <row r="13" customFormat="false" ht="19.5" hidden="false" customHeight="true" outlineLevel="0" collapsed="false">
      <c r="A13" s="85" t="s">
        <v>375</v>
      </c>
      <c r="B13" s="85" t="s">
        <v>999</v>
      </c>
      <c r="C13" s="85" t="s">
        <v>1000</v>
      </c>
      <c r="D13" s="85" t="s">
        <v>1001</v>
      </c>
      <c r="E13" s="85" t="s">
        <v>1002</v>
      </c>
      <c r="F13" s="85" t="s">
        <v>1003</v>
      </c>
    </row>
    <row r="14" customFormat="false" ht="19.5" hidden="false" customHeight="true" outlineLevel="0" collapsed="false">
      <c r="A14" s="85" t="s">
        <v>27</v>
      </c>
      <c r="B14" s="85" t="s">
        <v>1004</v>
      </c>
      <c r="C14" s="85" t="s">
        <v>1005</v>
      </c>
      <c r="D14" s="85" t="s">
        <v>1006</v>
      </c>
      <c r="E14" s="85" t="s">
        <v>1007</v>
      </c>
      <c r="F14" s="85" t="s">
        <v>998</v>
      </c>
    </row>
    <row r="15" customFormat="false" ht="19.5" hidden="false" customHeight="true" outlineLevel="0" collapsed="false">
      <c r="A15" s="85" t="s">
        <v>30</v>
      </c>
      <c r="B15" s="85" t="s">
        <v>1008</v>
      </c>
      <c r="C15" s="85" t="s">
        <v>1009</v>
      </c>
      <c r="D15" s="85" t="s">
        <v>1010</v>
      </c>
      <c r="E15" s="85" t="s">
        <v>1011</v>
      </c>
      <c r="F15" s="85" t="s">
        <v>998</v>
      </c>
    </row>
    <row r="16" customFormat="false" ht="19.5" hidden="false" customHeight="true" outlineLevel="0" collapsed="false">
      <c r="A16" s="85" t="s">
        <v>420</v>
      </c>
      <c r="B16" s="85" t="s">
        <v>1012</v>
      </c>
      <c r="C16" s="85" t="s">
        <v>1013</v>
      </c>
      <c r="D16" s="85" t="s">
        <v>1014</v>
      </c>
      <c r="E16" s="85" t="s">
        <v>1015</v>
      </c>
      <c r="F16" s="85" t="s">
        <v>1016</v>
      </c>
    </row>
    <row r="17" customFormat="false" ht="19.5" hidden="false" customHeight="true" outlineLevel="0" collapsed="false">
      <c r="A17" s="85" t="s">
        <v>41</v>
      </c>
      <c r="B17" s="85" t="s">
        <v>1017</v>
      </c>
      <c r="C17" s="85" t="s">
        <v>1018</v>
      </c>
      <c r="D17" s="85" t="s">
        <v>1019</v>
      </c>
      <c r="E17" s="85" t="s">
        <v>1020</v>
      </c>
      <c r="F17" s="85" t="s">
        <v>998</v>
      </c>
    </row>
    <row r="18" customFormat="false" ht="19.5" hidden="false" customHeight="true" outlineLevel="0" collapsed="false">
      <c r="A18" s="85" t="s">
        <v>412</v>
      </c>
      <c r="B18" s="85" t="s">
        <v>1021</v>
      </c>
      <c r="C18" s="85" t="s">
        <v>1022</v>
      </c>
      <c r="D18" s="85" t="s">
        <v>1023</v>
      </c>
      <c r="E18" s="85" t="s">
        <v>1024</v>
      </c>
      <c r="F18" s="85" t="s">
        <v>998</v>
      </c>
    </row>
    <row r="19" customFormat="false" ht="19.5" hidden="false" customHeight="true" outlineLevel="0" collapsed="false">
      <c r="A19" s="85"/>
      <c r="B19" s="85"/>
      <c r="C19" s="85"/>
      <c r="D19" s="85"/>
      <c r="E19" s="85"/>
      <c r="F19" s="85"/>
    </row>
    <row r="20" customFormat="false" ht="19.5" hidden="false" customHeight="true" outlineLevel="0" collapsed="false">
      <c r="A20" s="84" t="s">
        <v>1025</v>
      </c>
      <c r="B20" s="85"/>
      <c r="C20" s="85"/>
      <c r="D20" s="85"/>
      <c r="E20" s="85"/>
      <c r="F20" s="85"/>
    </row>
    <row r="21" customFormat="false" ht="19.5" hidden="false" customHeight="true" outlineLevel="0" collapsed="false">
      <c r="A21" s="86" t="s">
        <v>1026</v>
      </c>
      <c r="B21" s="85" t="s">
        <v>1027</v>
      </c>
      <c r="C21" s="85" t="s">
        <v>1028</v>
      </c>
      <c r="D21" s="85"/>
      <c r="E21" s="85"/>
      <c r="F21" s="85"/>
    </row>
    <row r="22" customFormat="false" ht="19.5" hidden="false" customHeight="true" outlineLevel="0" collapsed="false">
      <c r="A22" s="85" t="s">
        <v>1029</v>
      </c>
      <c r="B22" s="85" t="s">
        <v>1030</v>
      </c>
      <c r="C22" s="85" t="s">
        <v>1031</v>
      </c>
      <c r="D22" s="85"/>
      <c r="E22" s="85"/>
      <c r="F22" s="85"/>
    </row>
    <row r="23" customFormat="false" ht="19.5" hidden="false" customHeight="true" outlineLevel="0" collapsed="false">
      <c r="A23" s="85" t="s">
        <v>1032</v>
      </c>
      <c r="B23" s="85" t="s">
        <v>1033</v>
      </c>
      <c r="C23" s="85" t="s">
        <v>1034</v>
      </c>
      <c r="D23" s="85"/>
      <c r="E23" s="85"/>
      <c r="F23" s="85"/>
    </row>
    <row r="24" customFormat="false" ht="19.5" hidden="false" customHeight="true" outlineLevel="0" collapsed="false">
      <c r="A24" s="85" t="s">
        <v>1035</v>
      </c>
      <c r="B24" s="85" t="s">
        <v>1036</v>
      </c>
      <c r="C24" s="85" t="s">
        <v>1037</v>
      </c>
      <c r="D24" s="85"/>
      <c r="E24" s="85"/>
      <c r="F24" s="85"/>
    </row>
    <row r="25" customFormat="false" ht="19.5" hidden="false" customHeight="true" outlineLevel="0" collapsed="false">
      <c r="A25" s="85" t="s">
        <v>1038</v>
      </c>
      <c r="B25" s="85" t="s">
        <v>1039</v>
      </c>
      <c r="C25" s="85" t="s">
        <v>1040</v>
      </c>
      <c r="D25" s="85"/>
      <c r="E25" s="85"/>
      <c r="F25" s="85"/>
    </row>
    <row r="26" customFormat="false" ht="19.5" hidden="false" customHeight="true" outlineLevel="0" collapsed="false">
      <c r="A26" s="85" t="s">
        <v>1041</v>
      </c>
      <c r="B26" s="85" t="s">
        <v>1042</v>
      </c>
      <c r="C26" s="85" t="s">
        <v>1043</v>
      </c>
      <c r="D26" s="85"/>
      <c r="E26" s="85"/>
      <c r="F26" s="85"/>
    </row>
    <row r="27" customFormat="false" ht="19.5" hidden="false" customHeight="true" outlineLevel="0" collapsed="false">
      <c r="A27" s="85" t="s">
        <v>1044</v>
      </c>
      <c r="B27" s="85" t="s">
        <v>1045</v>
      </c>
      <c r="C27" s="85" t="s">
        <v>1046</v>
      </c>
      <c r="D27" s="85"/>
      <c r="E27" s="85"/>
      <c r="F27" s="85"/>
    </row>
    <row r="28" customFormat="false" ht="19.5" hidden="false" customHeight="true" outlineLevel="0" collapsed="false">
      <c r="A28" s="85"/>
      <c r="B28" s="85"/>
      <c r="C28" s="85"/>
      <c r="D28" s="85"/>
      <c r="E28" s="85"/>
      <c r="F28" s="85"/>
    </row>
    <row r="29" customFormat="false" ht="19.5" hidden="false" customHeight="true" outlineLevel="0" collapsed="false">
      <c r="A29" s="84" t="s">
        <v>1047</v>
      </c>
      <c r="B29" s="85"/>
      <c r="C29" s="85"/>
      <c r="D29" s="85"/>
      <c r="E29" s="85"/>
      <c r="F29" s="85"/>
    </row>
    <row r="30" customFormat="false" ht="19.5" hidden="false" customHeight="true" outlineLevel="0" collapsed="false">
      <c r="A30" s="86" t="s">
        <v>1048</v>
      </c>
      <c r="B30" s="85" t="s">
        <v>1049</v>
      </c>
      <c r="C30" s="85" t="s">
        <v>1050</v>
      </c>
      <c r="D30" s="85" t="s">
        <v>1051</v>
      </c>
      <c r="E30" s="85"/>
      <c r="F30" s="85"/>
    </row>
    <row r="31" customFormat="false" ht="19.5" hidden="false" customHeight="true" outlineLevel="0" collapsed="false">
      <c r="A31" s="85" t="s">
        <v>1052</v>
      </c>
      <c r="B31" s="85" t="s">
        <v>1053</v>
      </c>
      <c r="C31" s="85" t="s">
        <v>1054</v>
      </c>
      <c r="D31" s="85" t="s">
        <v>1055</v>
      </c>
      <c r="E31" s="85"/>
      <c r="F31" s="85"/>
    </row>
    <row r="32" customFormat="false" ht="19.5" hidden="false" customHeight="true" outlineLevel="0" collapsed="false">
      <c r="A32" s="85" t="s">
        <v>1056</v>
      </c>
      <c r="B32" s="85" t="s">
        <v>1057</v>
      </c>
      <c r="C32" s="85" t="s">
        <v>1058</v>
      </c>
      <c r="D32" s="85" t="s">
        <v>1059</v>
      </c>
      <c r="E32" s="85"/>
      <c r="F32" s="85"/>
    </row>
    <row r="33" customFormat="false" ht="19.5" hidden="false" customHeight="true" outlineLevel="0" collapsed="false">
      <c r="A33" s="85" t="s">
        <v>1060</v>
      </c>
      <c r="B33" s="85" t="s">
        <v>1061</v>
      </c>
      <c r="C33" s="85" t="s">
        <v>1062</v>
      </c>
      <c r="D33" s="85" t="s">
        <v>1063</v>
      </c>
      <c r="E33" s="85"/>
      <c r="F33" s="85"/>
    </row>
    <row r="34" customFormat="false" ht="19.5" hidden="false" customHeight="true" outlineLevel="0" collapsed="false">
      <c r="A34" s="85" t="s">
        <v>1064</v>
      </c>
      <c r="B34" s="85" t="s">
        <v>1065</v>
      </c>
      <c r="C34" s="85" t="s">
        <v>1066</v>
      </c>
      <c r="D34" s="85" t="s">
        <v>1067</v>
      </c>
      <c r="E34" s="85"/>
      <c r="F34" s="85"/>
    </row>
    <row r="35" customFormat="false" ht="19.5" hidden="false" customHeight="true" outlineLevel="0" collapsed="false">
      <c r="A35" s="85" t="s">
        <v>1068</v>
      </c>
      <c r="B35" s="85" t="s">
        <v>1069</v>
      </c>
      <c r="C35" s="85" t="s">
        <v>1070</v>
      </c>
      <c r="D35" s="85" t="s">
        <v>1071</v>
      </c>
      <c r="E35" s="85"/>
      <c r="F35" s="85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8"/>
    <col collapsed="false" customWidth="true" hidden="false" outlineLevel="0" max="3" min="3" style="1" width="45"/>
    <col collapsed="false" customWidth="true" hidden="false" outlineLevel="0" max="4" min="4" style="1" width="15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30"/>
  </cols>
  <sheetData>
    <row r="1" customFormat="false" ht="31.5" hidden="false" customHeight="true" outlineLevel="0" collapsed="false">
      <c r="A1" s="63" t="s">
        <v>1072</v>
      </c>
      <c r="B1" s="63"/>
      <c r="C1" s="63"/>
      <c r="D1" s="63"/>
      <c r="E1" s="63"/>
      <c r="F1" s="63"/>
      <c r="G1" s="63"/>
    </row>
    <row r="2" customFormat="false" ht="15" hidden="false" customHeight="true" outlineLevel="0" collapsed="false">
      <c r="A2" s="64" t="s">
        <v>1073</v>
      </c>
      <c r="B2" s="64" t="s">
        <v>359</v>
      </c>
      <c r="C2" s="64" t="s">
        <v>1074</v>
      </c>
      <c r="D2" s="64" t="s">
        <v>1075</v>
      </c>
      <c r="E2" s="64" t="s">
        <v>1076</v>
      </c>
      <c r="F2" s="64" t="s">
        <v>1077</v>
      </c>
      <c r="G2" s="64" t="s">
        <v>1078</v>
      </c>
    </row>
    <row r="3" customFormat="false" ht="21.75" hidden="false" customHeight="true" outlineLevel="0" collapsed="false">
      <c r="A3" s="87" t="s">
        <v>1079</v>
      </c>
      <c r="B3" s="88" t="s">
        <v>367</v>
      </c>
      <c r="C3" s="88" t="s">
        <v>1080</v>
      </c>
      <c r="D3" s="88" t="s">
        <v>1081</v>
      </c>
      <c r="E3" s="87" t="s">
        <v>1082</v>
      </c>
      <c r="F3" s="87" t="s">
        <v>1083</v>
      </c>
      <c r="G3" s="88" t="s">
        <v>1084</v>
      </c>
    </row>
    <row r="4" customFormat="false" ht="21.75" hidden="false" customHeight="true" outlineLevel="0" collapsed="false">
      <c r="A4" s="87" t="s">
        <v>1079</v>
      </c>
      <c r="B4" s="88" t="s">
        <v>367</v>
      </c>
      <c r="C4" s="88" t="s">
        <v>1085</v>
      </c>
      <c r="D4" s="88" t="s">
        <v>1081</v>
      </c>
      <c r="E4" s="87" t="s">
        <v>1086</v>
      </c>
      <c r="F4" s="87" t="s">
        <v>1083</v>
      </c>
      <c r="G4" s="88" t="s">
        <v>1087</v>
      </c>
    </row>
    <row r="5" customFormat="false" ht="21.75" hidden="false" customHeight="true" outlineLevel="0" collapsed="false">
      <c r="A5" s="87" t="s">
        <v>1079</v>
      </c>
      <c r="B5" s="88" t="s">
        <v>367</v>
      </c>
      <c r="C5" s="88" t="s">
        <v>1088</v>
      </c>
      <c r="D5" s="88" t="s">
        <v>1081</v>
      </c>
      <c r="E5" s="87" t="s">
        <v>1082</v>
      </c>
      <c r="F5" s="87" t="s">
        <v>1083</v>
      </c>
      <c r="G5" s="88" t="s">
        <v>1089</v>
      </c>
    </row>
    <row r="6" customFormat="false" ht="21.75" hidden="false" customHeight="true" outlineLevel="0" collapsed="false">
      <c r="A6" s="87" t="s">
        <v>1090</v>
      </c>
      <c r="B6" s="88" t="s">
        <v>367</v>
      </c>
      <c r="C6" s="88" t="s">
        <v>1091</v>
      </c>
      <c r="D6" s="88" t="s">
        <v>1081</v>
      </c>
      <c r="E6" s="87" t="s">
        <v>1092</v>
      </c>
      <c r="F6" s="87" t="s">
        <v>1083</v>
      </c>
      <c r="G6" s="88" t="s">
        <v>1093</v>
      </c>
    </row>
    <row r="7" customFormat="false" ht="21.75" hidden="false" customHeight="true" outlineLevel="0" collapsed="false">
      <c r="A7" s="87" t="s">
        <v>1090</v>
      </c>
      <c r="B7" s="88" t="s">
        <v>375</v>
      </c>
      <c r="C7" s="88" t="s">
        <v>1094</v>
      </c>
      <c r="D7" s="88" t="s">
        <v>1081</v>
      </c>
      <c r="E7" s="87" t="s">
        <v>1095</v>
      </c>
      <c r="F7" s="87" t="s">
        <v>1083</v>
      </c>
      <c r="G7" s="88" t="s">
        <v>1096</v>
      </c>
    </row>
    <row r="8" customFormat="false" ht="21.75" hidden="false" customHeight="true" outlineLevel="0" collapsed="false">
      <c r="A8" s="87" t="s">
        <v>1090</v>
      </c>
      <c r="B8" s="88" t="s">
        <v>375</v>
      </c>
      <c r="C8" s="88" t="s">
        <v>1097</v>
      </c>
      <c r="D8" s="88" t="s">
        <v>1081</v>
      </c>
      <c r="E8" s="87" t="s">
        <v>1098</v>
      </c>
      <c r="F8" s="87" t="s">
        <v>1083</v>
      </c>
      <c r="G8" s="88" t="s">
        <v>1099</v>
      </c>
    </row>
    <row r="9" customFormat="false" ht="21.75" hidden="false" customHeight="true" outlineLevel="0" collapsed="false">
      <c r="A9" s="87" t="s">
        <v>1100</v>
      </c>
      <c r="B9" s="88" t="s">
        <v>375</v>
      </c>
      <c r="C9" s="88" t="s">
        <v>1101</v>
      </c>
      <c r="D9" s="88" t="s">
        <v>1081</v>
      </c>
      <c r="E9" s="87" t="s">
        <v>1102</v>
      </c>
      <c r="F9" s="87" t="s">
        <v>1083</v>
      </c>
      <c r="G9" s="88" t="s">
        <v>1103</v>
      </c>
    </row>
    <row r="10" customFormat="false" ht="21.75" hidden="false" customHeight="true" outlineLevel="0" collapsed="false">
      <c r="A10" s="87" t="s">
        <v>1100</v>
      </c>
      <c r="B10" s="88" t="s">
        <v>27</v>
      </c>
      <c r="C10" s="88" t="s">
        <v>1104</v>
      </c>
      <c r="D10" s="88" t="s">
        <v>1081</v>
      </c>
      <c r="E10" s="87" t="s">
        <v>1105</v>
      </c>
      <c r="F10" s="87" t="s">
        <v>1083</v>
      </c>
      <c r="G10" s="88" t="s">
        <v>1106</v>
      </c>
    </row>
    <row r="11" customFormat="false" ht="21.75" hidden="false" customHeight="true" outlineLevel="0" collapsed="false">
      <c r="A11" s="87" t="s">
        <v>1107</v>
      </c>
      <c r="B11" s="88" t="s">
        <v>27</v>
      </c>
      <c r="C11" s="88" t="s">
        <v>1108</v>
      </c>
      <c r="D11" s="88" t="s">
        <v>1081</v>
      </c>
      <c r="E11" s="87" t="s">
        <v>1109</v>
      </c>
      <c r="F11" s="87" t="s">
        <v>1083</v>
      </c>
      <c r="G11" s="88" t="s">
        <v>1110</v>
      </c>
    </row>
    <row r="12" customFormat="false" ht="21.75" hidden="false" customHeight="true" outlineLevel="0" collapsed="false">
      <c r="A12" s="87" t="s">
        <v>1107</v>
      </c>
      <c r="B12" s="88" t="s">
        <v>1111</v>
      </c>
      <c r="C12" s="88" t="s">
        <v>1112</v>
      </c>
      <c r="D12" s="88" t="s">
        <v>1081</v>
      </c>
      <c r="E12" s="87" t="s">
        <v>1113</v>
      </c>
      <c r="F12" s="87" t="s">
        <v>1083</v>
      </c>
      <c r="G12" s="88" t="s">
        <v>1114</v>
      </c>
    </row>
    <row r="13" customFormat="false" ht="21.75" hidden="false" customHeight="true" outlineLevel="0" collapsed="false">
      <c r="A13" s="87" t="s">
        <v>1115</v>
      </c>
      <c r="B13" s="88" t="s">
        <v>1116</v>
      </c>
      <c r="C13" s="88" t="s">
        <v>1117</v>
      </c>
      <c r="D13" s="88" t="s">
        <v>1081</v>
      </c>
      <c r="E13" s="87" t="s">
        <v>1118</v>
      </c>
      <c r="F13" s="87" t="s">
        <v>1083</v>
      </c>
      <c r="G13" s="88" t="s">
        <v>1119</v>
      </c>
    </row>
    <row r="14" customFormat="false" ht="21.75" hidden="false" customHeight="true" outlineLevel="0" collapsed="false">
      <c r="A14" s="87" t="s">
        <v>1115</v>
      </c>
      <c r="B14" s="88" t="s">
        <v>1116</v>
      </c>
      <c r="C14" s="88" t="s">
        <v>1120</v>
      </c>
      <c r="D14" s="88" t="s">
        <v>1081</v>
      </c>
      <c r="E14" s="87" t="s">
        <v>1118</v>
      </c>
      <c r="F14" s="87" t="s">
        <v>1083</v>
      </c>
      <c r="G14" s="88" t="s">
        <v>1121</v>
      </c>
    </row>
    <row r="15" customFormat="false" ht="21.75" hidden="false" customHeight="true" outlineLevel="0" collapsed="false">
      <c r="A15" s="87" t="s">
        <v>1115</v>
      </c>
      <c r="B15" s="88" t="s">
        <v>1116</v>
      </c>
      <c r="C15" s="88" t="s">
        <v>1122</v>
      </c>
      <c r="D15" s="88" t="s">
        <v>1081</v>
      </c>
      <c r="E15" s="87" t="s">
        <v>1118</v>
      </c>
      <c r="F15" s="87" t="s">
        <v>1083</v>
      </c>
      <c r="G15" s="88" t="s">
        <v>1123</v>
      </c>
    </row>
    <row r="16" customFormat="false" ht="21.75" hidden="false" customHeight="true" outlineLevel="0" collapsed="false">
      <c r="A16" s="87" t="s">
        <v>1124</v>
      </c>
      <c r="B16" s="88" t="s">
        <v>1125</v>
      </c>
      <c r="C16" s="88" t="s">
        <v>1126</v>
      </c>
      <c r="D16" s="88" t="s">
        <v>1081</v>
      </c>
      <c r="E16" s="87" t="s">
        <v>1127</v>
      </c>
      <c r="F16" s="87" t="s">
        <v>1083</v>
      </c>
      <c r="G16" s="88" t="s">
        <v>1128</v>
      </c>
    </row>
    <row r="17" customFormat="false" ht="21.75" hidden="false" customHeight="true" outlineLevel="0" collapsed="false">
      <c r="A17" s="87" t="s">
        <v>1124</v>
      </c>
      <c r="B17" s="88" t="s">
        <v>1125</v>
      </c>
      <c r="C17" s="88" t="s">
        <v>1129</v>
      </c>
      <c r="D17" s="88" t="s">
        <v>1081</v>
      </c>
      <c r="E17" s="87" t="s">
        <v>1127</v>
      </c>
      <c r="F17" s="87" t="s">
        <v>1083</v>
      </c>
      <c r="G17" s="88" t="s">
        <v>1130</v>
      </c>
    </row>
    <row r="18" customFormat="false" ht="21.75" hidden="false" customHeight="true" outlineLevel="0" collapsed="false">
      <c r="A18" s="87" t="s">
        <v>1124</v>
      </c>
      <c r="B18" s="88" t="s">
        <v>1125</v>
      </c>
      <c r="C18" s="88" t="s">
        <v>1131</v>
      </c>
      <c r="D18" s="88" t="s">
        <v>1081</v>
      </c>
      <c r="E18" s="87" t="s">
        <v>1132</v>
      </c>
      <c r="F18" s="87" t="s">
        <v>1083</v>
      </c>
      <c r="G18" s="88" t="s">
        <v>1133</v>
      </c>
    </row>
    <row r="20" customFormat="false" ht="21.75" hidden="false" customHeight="true" outlineLevel="0" collapsed="false">
      <c r="A20" s="89" t="s">
        <v>1134</v>
      </c>
      <c r="B20" s="89"/>
      <c r="C20" s="89"/>
      <c r="D20" s="89"/>
      <c r="E20" s="89"/>
      <c r="F20" s="89"/>
      <c r="G20" s="89"/>
    </row>
    <row r="21" customFormat="false" ht="18" hidden="false" customHeight="true" outlineLevel="0" collapsed="false">
      <c r="A21" s="90"/>
      <c r="B21" s="90" t="s">
        <v>1135</v>
      </c>
      <c r="C21" s="90" t="s">
        <v>1136</v>
      </c>
      <c r="D21" s="90"/>
      <c r="E21" s="90"/>
      <c r="F21" s="90"/>
      <c r="G21" s="90"/>
    </row>
    <row r="22" customFormat="false" ht="30" hidden="false" customHeight="true" outlineLevel="0" collapsed="false">
      <c r="A22" s="91" t="s">
        <v>1079</v>
      </c>
      <c r="B22" s="91" t="s">
        <v>1137</v>
      </c>
      <c r="C22" s="91" t="s">
        <v>1138</v>
      </c>
      <c r="D22" s="91" t="s">
        <v>1081</v>
      </c>
      <c r="E22" s="91" t="s">
        <v>1139</v>
      </c>
      <c r="F22" s="91" t="s">
        <v>1083</v>
      </c>
      <c r="G22" s="91" t="s">
        <v>1140</v>
      </c>
    </row>
    <row r="23" customFormat="false" ht="30" hidden="false" customHeight="true" outlineLevel="0" collapsed="false">
      <c r="A23" s="91" t="s">
        <v>1079</v>
      </c>
      <c r="B23" s="91" t="s">
        <v>1137</v>
      </c>
      <c r="C23" s="91" t="s">
        <v>1141</v>
      </c>
      <c r="D23" s="91" t="s">
        <v>1081</v>
      </c>
      <c r="E23" s="91" t="s">
        <v>1086</v>
      </c>
      <c r="F23" s="91" t="s">
        <v>1083</v>
      </c>
      <c r="G23" s="91" t="s">
        <v>1142</v>
      </c>
    </row>
    <row r="24" customFormat="false" ht="30" hidden="false" customHeight="true" outlineLevel="0" collapsed="false">
      <c r="A24" s="91" t="s">
        <v>1079</v>
      </c>
      <c r="B24" s="91" t="s">
        <v>1137</v>
      </c>
      <c r="C24" s="91" t="s">
        <v>1143</v>
      </c>
      <c r="D24" s="91" t="s">
        <v>1081</v>
      </c>
      <c r="E24" s="91" t="s">
        <v>1144</v>
      </c>
      <c r="F24" s="91" t="s">
        <v>1083</v>
      </c>
      <c r="G24" s="91" t="s">
        <v>1145</v>
      </c>
    </row>
    <row r="25" customFormat="false" ht="30" hidden="false" customHeight="true" outlineLevel="0" collapsed="false">
      <c r="A25" s="91" t="s">
        <v>1079</v>
      </c>
      <c r="B25" s="91" t="s">
        <v>1137</v>
      </c>
      <c r="C25" s="91" t="s">
        <v>1146</v>
      </c>
      <c r="D25" s="91" t="s">
        <v>1081</v>
      </c>
      <c r="E25" s="91" t="s">
        <v>1082</v>
      </c>
      <c r="F25" s="91" t="s">
        <v>1083</v>
      </c>
      <c r="G25" s="91" t="s">
        <v>1147</v>
      </c>
    </row>
    <row r="26" customFormat="false" ht="30" hidden="false" customHeight="true" outlineLevel="0" collapsed="false">
      <c r="A26" s="91" t="s">
        <v>1090</v>
      </c>
      <c r="B26" s="91" t="s">
        <v>1148</v>
      </c>
      <c r="C26" s="91" t="s">
        <v>1149</v>
      </c>
      <c r="D26" s="91" t="s">
        <v>1081</v>
      </c>
      <c r="E26" s="91" t="s">
        <v>1095</v>
      </c>
      <c r="F26" s="91" t="s">
        <v>1083</v>
      </c>
      <c r="G26" s="91" t="s">
        <v>1150</v>
      </c>
    </row>
    <row r="27" customFormat="false" ht="30" hidden="false" customHeight="true" outlineLevel="0" collapsed="false">
      <c r="A27" s="91" t="s">
        <v>1090</v>
      </c>
      <c r="B27" s="91" t="s">
        <v>1148</v>
      </c>
      <c r="C27" s="91" t="s">
        <v>1151</v>
      </c>
      <c r="D27" s="91" t="s">
        <v>1081</v>
      </c>
      <c r="E27" s="91" t="s">
        <v>1098</v>
      </c>
      <c r="F27" s="91" t="s">
        <v>1083</v>
      </c>
      <c r="G27" s="91" t="s">
        <v>1152</v>
      </c>
    </row>
    <row r="28" customFormat="false" ht="30" hidden="false" customHeight="true" outlineLevel="0" collapsed="false">
      <c r="A28" s="91" t="s">
        <v>1090</v>
      </c>
      <c r="B28" s="91" t="s">
        <v>1148</v>
      </c>
      <c r="C28" s="91" t="s">
        <v>1153</v>
      </c>
      <c r="D28" s="91" t="s">
        <v>1081</v>
      </c>
      <c r="E28" s="91" t="s">
        <v>1092</v>
      </c>
      <c r="F28" s="91" t="s">
        <v>1083</v>
      </c>
      <c r="G28" s="91" t="s">
        <v>1154</v>
      </c>
    </row>
    <row r="29" customFormat="false" ht="30" hidden="false" customHeight="true" outlineLevel="0" collapsed="false">
      <c r="A29" s="91" t="s">
        <v>1100</v>
      </c>
      <c r="B29" s="91" t="s">
        <v>1155</v>
      </c>
      <c r="C29" s="91" t="s">
        <v>1156</v>
      </c>
      <c r="D29" s="91" t="s">
        <v>1081</v>
      </c>
      <c r="E29" s="91" t="s">
        <v>1105</v>
      </c>
      <c r="F29" s="91" t="s">
        <v>1083</v>
      </c>
      <c r="G29" s="91" t="s">
        <v>1157</v>
      </c>
    </row>
    <row r="30" customFormat="false" ht="30" hidden="false" customHeight="true" outlineLevel="0" collapsed="false">
      <c r="A30" s="91" t="s">
        <v>1100</v>
      </c>
      <c r="B30" s="91" t="s">
        <v>1155</v>
      </c>
      <c r="C30" s="91" t="s">
        <v>1158</v>
      </c>
      <c r="D30" s="91" t="s">
        <v>1081</v>
      </c>
      <c r="E30" s="91" t="s">
        <v>1102</v>
      </c>
      <c r="F30" s="91" t="s">
        <v>1083</v>
      </c>
      <c r="G30" s="91" t="s">
        <v>1159</v>
      </c>
    </row>
    <row r="31" customFormat="false" ht="30" hidden="false" customHeight="true" outlineLevel="0" collapsed="false">
      <c r="A31" s="91" t="s">
        <v>1100</v>
      </c>
      <c r="B31" s="91" t="s">
        <v>1160</v>
      </c>
      <c r="C31" s="91" t="s">
        <v>1161</v>
      </c>
      <c r="D31" s="91" t="s">
        <v>1081</v>
      </c>
      <c r="E31" s="91" t="s">
        <v>1102</v>
      </c>
      <c r="F31" s="91" t="s">
        <v>1083</v>
      </c>
      <c r="G31" s="91" t="s">
        <v>1162</v>
      </c>
    </row>
    <row r="32" customFormat="false" ht="30" hidden="false" customHeight="true" outlineLevel="0" collapsed="false">
      <c r="A32" s="91" t="s">
        <v>1107</v>
      </c>
      <c r="B32" s="91" t="s">
        <v>1163</v>
      </c>
      <c r="C32" s="91" t="s">
        <v>1164</v>
      </c>
      <c r="D32" s="91" t="s">
        <v>1081</v>
      </c>
      <c r="E32" s="91" t="s">
        <v>1165</v>
      </c>
      <c r="F32" s="91" t="s">
        <v>1083</v>
      </c>
      <c r="G32" s="91" t="s">
        <v>1166</v>
      </c>
    </row>
    <row r="33" customFormat="false" ht="30" hidden="false" customHeight="true" outlineLevel="0" collapsed="false">
      <c r="A33" s="91" t="s">
        <v>1107</v>
      </c>
      <c r="B33" s="91" t="s">
        <v>1163</v>
      </c>
      <c r="C33" s="91" t="s">
        <v>1167</v>
      </c>
      <c r="D33" s="91" t="s">
        <v>1081</v>
      </c>
      <c r="E33" s="91" t="s">
        <v>1109</v>
      </c>
      <c r="F33" s="91" t="s">
        <v>1083</v>
      </c>
      <c r="G33" s="91" t="s">
        <v>1168</v>
      </c>
    </row>
    <row r="34" customFormat="false" ht="30" hidden="false" customHeight="true" outlineLevel="0" collapsed="false">
      <c r="A34" s="91" t="s">
        <v>1107</v>
      </c>
      <c r="B34" s="91" t="s">
        <v>1163</v>
      </c>
      <c r="C34" s="91" t="s">
        <v>1169</v>
      </c>
      <c r="D34" s="91" t="s">
        <v>1081</v>
      </c>
      <c r="E34" s="91" t="s">
        <v>1113</v>
      </c>
      <c r="F34" s="91" t="s">
        <v>1083</v>
      </c>
      <c r="G34" s="91" t="s">
        <v>1170</v>
      </c>
    </row>
    <row r="35" customFormat="false" ht="30" hidden="false" customHeight="true" outlineLevel="0" collapsed="false">
      <c r="A35" s="91" t="s">
        <v>1107</v>
      </c>
      <c r="B35" s="91" t="s">
        <v>1171</v>
      </c>
      <c r="C35" s="91" t="s">
        <v>1172</v>
      </c>
      <c r="D35" s="91" t="s">
        <v>1081</v>
      </c>
      <c r="E35" s="91" t="s">
        <v>1113</v>
      </c>
      <c r="F35" s="91" t="s">
        <v>1083</v>
      </c>
      <c r="G35" s="91" t="s">
        <v>1173</v>
      </c>
    </row>
    <row r="36" customFormat="false" ht="30" hidden="false" customHeight="true" outlineLevel="0" collapsed="false">
      <c r="A36" s="91" t="s">
        <v>1174</v>
      </c>
      <c r="B36" s="91" t="s">
        <v>1175</v>
      </c>
      <c r="C36" s="91" t="s">
        <v>1176</v>
      </c>
      <c r="D36" s="91" t="s">
        <v>1081</v>
      </c>
      <c r="E36" s="91" t="s">
        <v>1177</v>
      </c>
      <c r="F36" s="91" t="s">
        <v>1083</v>
      </c>
      <c r="G36" s="91" t="s">
        <v>1178</v>
      </c>
    </row>
    <row r="37" customFormat="false" ht="30" hidden="false" customHeight="true" outlineLevel="0" collapsed="false">
      <c r="A37" s="91" t="s">
        <v>1174</v>
      </c>
      <c r="B37" s="91" t="s">
        <v>1179</v>
      </c>
      <c r="C37" s="91" t="s">
        <v>1180</v>
      </c>
      <c r="D37" s="91" t="s">
        <v>1081</v>
      </c>
      <c r="E37" s="91" t="s">
        <v>1177</v>
      </c>
      <c r="F37" s="91" t="s">
        <v>1083</v>
      </c>
      <c r="G37" s="91" t="s">
        <v>1181</v>
      </c>
    </row>
    <row r="38" customFormat="false" ht="30" hidden="false" customHeight="true" outlineLevel="0" collapsed="false">
      <c r="A38" s="91" t="s">
        <v>1182</v>
      </c>
      <c r="B38" s="91" t="s">
        <v>1183</v>
      </c>
      <c r="C38" s="91" t="s">
        <v>1184</v>
      </c>
      <c r="D38" s="91" t="s">
        <v>1081</v>
      </c>
      <c r="E38" s="91" t="s">
        <v>1185</v>
      </c>
      <c r="F38" s="91" t="s">
        <v>1083</v>
      </c>
      <c r="G38" s="91" t="s">
        <v>1186</v>
      </c>
    </row>
    <row r="39" customFormat="false" ht="30" hidden="false" customHeight="true" outlineLevel="0" collapsed="false">
      <c r="A39" s="91" t="s">
        <v>1182</v>
      </c>
      <c r="B39" s="91" t="s">
        <v>1187</v>
      </c>
      <c r="C39" s="91" t="s">
        <v>1188</v>
      </c>
      <c r="D39" s="91" t="s">
        <v>1081</v>
      </c>
      <c r="E39" s="91" t="s">
        <v>1185</v>
      </c>
      <c r="F39" s="91" t="s">
        <v>1083</v>
      </c>
      <c r="G39" s="91" t="s">
        <v>1189</v>
      </c>
    </row>
    <row r="40" customFormat="false" ht="30" hidden="false" customHeight="true" outlineLevel="0" collapsed="false">
      <c r="A40" s="91" t="s">
        <v>1190</v>
      </c>
      <c r="B40" s="91" t="s">
        <v>1191</v>
      </c>
      <c r="C40" s="91" t="s">
        <v>1192</v>
      </c>
      <c r="D40" s="91" t="s">
        <v>1081</v>
      </c>
      <c r="E40" s="91" t="s">
        <v>1193</v>
      </c>
      <c r="F40" s="91" t="s">
        <v>1083</v>
      </c>
      <c r="G40" s="91" t="s">
        <v>1194</v>
      </c>
    </row>
    <row r="41" customFormat="false" ht="30" hidden="false" customHeight="true" outlineLevel="0" collapsed="false">
      <c r="A41" s="91" t="s">
        <v>1190</v>
      </c>
      <c r="B41" s="91" t="s">
        <v>1195</v>
      </c>
      <c r="C41" s="91" t="s">
        <v>1196</v>
      </c>
      <c r="D41" s="91" t="s">
        <v>1081</v>
      </c>
      <c r="E41" s="91" t="s">
        <v>1193</v>
      </c>
      <c r="F41" s="91" t="s">
        <v>1083</v>
      </c>
      <c r="G41" s="91" t="s">
        <v>1197</v>
      </c>
    </row>
    <row r="42" customFormat="false" ht="30" hidden="false" customHeight="true" outlineLevel="0" collapsed="false">
      <c r="A42" s="91" t="s">
        <v>1198</v>
      </c>
      <c r="B42" s="91" t="s">
        <v>1199</v>
      </c>
      <c r="C42" s="91" t="s">
        <v>1200</v>
      </c>
      <c r="D42" s="91" t="s">
        <v>1081</v>
      </c>
      <c r="E42" s="91" t="s">
        <v>1118</v>
      </c>
      <c r="F42" s="91" t="s">
        <v>1083</v>
      </c>
      <c r="G42" s="91" t="s">
        <v>1201</v>
      </c>
    </row>
    <row r="43" customFormat="false" ht="30" hidden="false" customHeight="true" outlineLevel="0" collapsed="false">
      <c r="A43" s="91" t="s">
        <v>1198</v>
      </c>
      <c r="B43" s="91" t="s">
        <v>1202</v>
      </c>
      <c r="C43" s="91" t="s">
        <v>1203</v>
      </c>
      <c r="D43" s="91" t="s">
        <v>1081</v>
      </c>
      <c r="E43" s="91" t="s">
        <v>1118</v>
      </c>
      <c r="F43" s="91" t="s">
        <v>1083</v>
      </c>
      <c r="G43" s="91" t="s">
        <v>1204</v>
      </c>
    </row>
    <row r="44" customFormat="false" ht="30" hidden="false" customHeight="true" outlineLevel="0" collapsed="false">
      <c r="A44" s="91" t="s">
        <v>1205</v>
      </c>
      <c r="B44" s="91" t="s">
        <v>1206</v>
      </c>
      <c r="C44" s="91" t="s">
        <v>1207</v>
      </c>
      <c r="D44" s="91" t="s">
        <v>1081</v>
      </c>
      <c r="E44" s="91" t="s">
        <v>1208</v>
      </c>
      <c r="F44" s="91" t="s">
        <v>1083</v>
      </c>
      <c r="G44" s="91" t="s">
        <v>1209</v>
      </c>
    </row>
    <row r="45" customFormat="false" ht="30" hidden="false" customHeight="true" outlineLevel="0" collapsed="false">
      <c r="A45" s="91" t="s">
        <v>1205</v>
      </c>
      <c r="B45" s="91" t="s">
        <v>1210</v>
      </c>
      <c r="C45" s="91" t="s">
        <v>1211</v>
      </c>
      <c r="D45" s="91" t="s">
        <v>1081</v>
      </c>
      <c r="E45" s="91" t="s">
        <v>1208</v>
      </c>
      <c r="F45" s="91" t="s">
        <v>1083</v>
      </c>
      <c r="G45" s="91" t="s">
        <v>1212</v>
      </c>
    </row>
    <row r="46" customFormat="false" ht="30" hidden="false" customHeight="true" outlineLevel="0" collapsed="false">
      <c r="A46" s="91" t="s">
        <v>1213</v>
      </c>
      <c r="B46" s="91" t="s">
        <v>1214</v>
      </c>
      <c r="C46" s="91" t="s">
        <v>1215</v>
      </c>
      <c r="D46" s="91" t="s">
        <v>1081</v>
      </c>
      <c r="E46" s="91" t="s">
        <v>1216</v>
      </c>
      <c r="F46" s="91" t="s">
        <v>1083</v>
      </c>
      <c r="G46" s="91" t="s">
        <v>1217</v>
      </c>
    </row>
    <row r="47" customFormat="false" ht="30" hidden="false" customHeight="true" outlineLevel="0" collapsed="false">
      <c r="A47" s="91" t="s">
        <v>1213</v>
      </c>
      <c r="B47" s="91" t="s">
        <v>1218</v>
      </c>
      <c r="C47" s="91" t="s">
        <v>1219</v>
      </c>
      <c r="D47" s="91" t="s">
        <v>1081</v>
      </c>
      <c r="E47" s="91" t="s">
        <v>1216</v>
      </c>
      <c r="F47" s="91" t="s">
        <v>1083</v>
      </c>
      <c r="G47" s="91" t="s">
        <v>1220</v>
      </c>
    </row>
    <row r="48" customFormat="false" ht="30" hidden="false" customHeight="true" outlineLevel="0" collapsed="false">
      <c r="A48" s="91" t="s">
        <v>1221</v>
      </c>
      <c r="B48" s="91" t="s">
        <v>1222</v>
      </c>
      <c r="C48" s="91" t="s">
        <v>1223</v>
      </c>
      <c r="D48" s="91" t="s">
        <v>1081</v>
      </c>
      <c r="E48" s="91" t="s">
        <v>1224</v>
      </c>
      <c r="F48" s="91" t="s">
        <v>1083</v>
      </c>
      <c r="G48" s="91" t="s">
        <v>1225</v>
      </c>
    </row>
    <row r="49" customFormat="false" ht="30" hidden="false" customHeight="true" outlineLevel="0" collapsed="false">
      <c r="A49" s="91" t="s">
        <v>1221</v>
      </c>
      <c r="B49" s="91" t="s">
        <v>1226</v>
      </c>
      <c r="C49" s="91" t="s">
        <v>1227</v>
      </c>
      <c r="D49" s="91" t="s">
        <v>1081</v>
      </c>
      <c r="E49" s="91" t="s">
        <v>1224</v>
      </c>
      <c r="F49" s="91" t="s">
        <v>1083</v>
      </c>
      <c r="G49" s="91" t="s">
        <v>1228</v>
      </c>
    </row>
    <row r="50" customFormat="false" ht="30" hidden="false" customHeight="true" outlineLevel="0" collapsed="false">
      <c r="A50" s="91" t="s">
        <v>1229</v>
      </c>
      <c r="B50" s="91" t="s">
        <v>1230</v>
      </c>
      <c r="C50" s="91" t="s">
        <v>1231</v>
      </c>
      <c r="D50" s="91" t="s">
        <v>1081</v>
      </c>
      <c r="E50" s="91" t="s">
        <v>1127</v>
      </c>
      <c r="F50" s="91" t="s">
        <v>1083</v>
      </c>
      <c r="G50" s="91" t="s">
        <v>1232</v>
      </c>
    </row>
    <row r="51" customFormat="false" ht="30" hidden="false" customHeight="true" outlineLevel="0" collapsed="false">
      <c r="A51" s="91" t="s">
        <v>1229</v>
      </c>
      <c r="B51" s="91" t="s">
        <v>1233</v>
      </c>
      <c r="C51" s="91" t="s">
        <v>1234</v>
      </c>
      <c r="D51" s="91" t="s">
        <v>1081</v>
      </c>
      <c r="E51" s="91" t="s">
        <v>1127</v>
      </c>
      <c r="F51" s="91" t="s">
        <v>1083</v>
      </c>
      <c r="G51" s="91" t="s">
        <v>1235</v>
      </c>
    </row>
    <row r="52" customFormat="false" ht="30" hidden="false" customHeight="true" outlineLevel="0" collapsed="false">
      <c r="A52" s="91" t="s">
        <v>1229</v>
      </c>
      <c r="B52" s="91" t="s">
        <v>1236</v>
      </c>
      <c r="C52" s="91" t="s">
        <v>1237</v>
      </c>
      <c r="D52" s="91" t="s">
        <v>1081</v>
      </c>
      <c r="E52" s="91" t="s">
        <v>1127</v>
      </c>
      <c r="F52" s="91" t="s">
        <v>1083</v>
      </c>
      <c r="G52" s="91" t="s">
        <v>1238</v>
      </c>
    </row>
    <row r="53" customFormat="false" ht="30" hidden="false" customHeight="true" outlineLevel="0" collapsed="false">
      <c r="A53" s="91" t="s">
        <v>1229</v>
      </c>
      <c r="B53" s="91" t="s">
        <v>1239</v>
      </c>
      <c r="C53" s="91" t="s">
        <v>1240</v>
      </c>
      <c r="D53" s="91" t="s">
        <v>1081</v>
      </c>
      <c r="E53" s="91" t="s">
        <v>1132</v>
      </c>
      <c r="F53" s="91" t="s">
        <v>1083</v>
      </c>
      <c r="G53" s="91" t="s">
        <v>1241</v>
      </c>
    </row>
    <row r="54" customFormat="false" ht="30" hidden="false" customHeight="true" outlineLevel="0" collapsed="false">
      <c r="A54" s="91" t="s">
        <v>1132</v>
      </c>
      <c r="B54" s="91" t="s">
        <v>1242</v>
      </c>
      <c r="C54" s="91" t="s">
        <v>1243</v>
      </c>
      <c r="D54" s="91" t="s">
        <v>1081</v>
      </c>
      <c r="E54" s="91" t="s">
        <v>1132</v>
      </c>
      <c r="F54" s="91" t="s">
        <v>1083</v>
      </c>
      <c r="G54" s="91" t="s">
        <v>1244</v>
      </c>
    </row>
  </sheetData>
  <mergeCells count="2">
    <mergeCell ref="A1:G1"/>
    <mergeCell ref="A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10"/>
    <col collapsed="false" customWidth="true" hidden="false" outlineLevel="0" max="4" min="4" style="1" width="80"/>
    <col collapsed="false" customWidth="true" hidden="false" outlineLevel="0" max="5" min="5" style="1" width="40"/>
    <col collapsed="false" customWidth="true" hidden="false" outlineLevel="0" max="6" min="6" style="1" width="35"/>
    <col collapsed="false" customWidth="true" hidden="false" outlineLevel="0" max="7" min="7" style="1" width="15"/>
  </cols>
  <sheetData>
    <row r="1" customFormat="false" ht="30" hidden="false" customHeight="true" outlineLevel="0" collapsed="false">
      <c r="A1" s="92" t="s">
        <v>1245</v>
      </c>
      <c r="B1" s="92"/>
      <c r="C1" s="92"/>
      <c r="D1" s="92"/>
      <c r="E1" s="92"/>
      <c r="F1" s="92"/>
      <c r="G1" s="92"/>
    </row>
    <row r="2" customFormat="false" ht="19.5" hidden="false" customHeight="true" outlineLevel="0" collapsed="false">
      <c r="A2" s="93" t="s">
        <v>1246</v>
      </c>
      <c r="B2" s="93"/>
      <c r="C2" s="93"/>
      <c r="D2" s="93"/>
      <c r="E2" s="93"/>
      <c r="F2" s="93"/>
      <c r="G2" s="93"/>
    </row>
    <row r="3" customFormat="false" ht="24.75" hidden="false" customHeight="true" outlineLevel="0" collapsed="false">
      <c r="A3" s="94" t="s">
        <v>2</v>
      </c>
      <c r="B3" s="94" t="s">
        <v>1247</v>
      </c>
      <c r="C3" s="94" t="s">
        <v>4</v>
      </c>
      <c r="D3" s="94" t="s">
        <v>1248</v>
      </c>
      <c r="E3" s="94" t="s">
        <v>1249</v>
      </c>
      <c r="F3" s="94" t="s">
        <v>1250</v>
      </c>
      <c r="G3" s="94" t="s">
        <v>1251</v>
      </c>
    </row>
    <row r="4" customFormat="false" ht="120" hidden="false" customHeight="true" outlineLevel="0" collapsed="false">
      <c r="A4" s="95" t="n">
        <v>1</v>
      </c>
      <c r="B4" s="95" t="s">
        <v>16</v>
      </c>
      <c r="C4" s="95" t="s">
        <v>17</v>
      </c>
      <c r="D4" s="95" t="s">
        <v>1252</v>
      </c>
      <c r="E4" s="95" t="s">
        <v>1253</v>
      </c>
      <c r="F4" s="95" t="s">
        <v>1254</v>
      </c>
      <c r="G4" s="95" t="s">
        <v>1255</v>
      </c>
    </row>
    <row r="5" customFormat="false" ht="120" hidden="false" customHeight="true" outlineLevel="0" collapsed="false">
      <c r="A5" s="95" t="n">
        <v>2</v>
      </c>
      <c r="B5" s="95" t="s">
        <v>23</v>
      </c>
      <c r="C5" s="95" t="s">
        <v>17</v>
      </c>
      <c r="D5" s="95" t="s">
        <v>1256</v>
      </c>
      <c r="E5" s="95" t="s">
        <v>1257</v>
      </c>
      <c r="F5" s="95" t="s">
        <v>1258</v>
      </c>
      <c r="G5" s="95" t="s">
        <v>1259</v>
      </c>
    </row>
    <row r="6" customFormat="false" ht="120" hidden="false" customHeight="true" outlineLevel="0" collapsed="false">
      <c r="A6" s="95" t="n">
        <v>3</v>
      </c>
      <c r="B6" s="95" t="s">
        <v>27</v>
      </c>
      <c r="C6" s="95" t="s">
        <v>17</v>
      </c>
      <c r="D6" s="95" t="s">
        <v>1260</v>
      </c>
      <c r="E6" s="95" t="s">
        <v>1261</v>
      </c>
      <c r="F6" s="95" t="s">
        <v>1262</v>
      </c>
      <c r="G6" s="95" t="s">
        <v>1263</v>
      </c>
    </row>
    <row r="7" customFormat="false" ht="120" hidden="false" customHeight="true" outlineLevel="0" collapsed="false">
      <c r="A7" s="95" t="n">
        <v>4</v>
      </c>
      <c r="B7" s="95" t="s">
        <v>30</v>
      </c>
      <c r="C7" s="95" t="s">
        <v>17</v>
      </c>
      <c r="D7" s="95" t="s">
        <v>1264</v>
      </c>
      <c r="E7" s="95" t="s">
        <v>1265</v>
      </c>
      <c r="F7" s="95" t="s">
        <v>1266</v>
      </c>
      <c r="G7" s="95" t="s">
        <v>1267</v>
      </c>
    </row>
    <row r="8" customFormat="false" ht="120" hidden="false" customHeight="true" outlineLevel="0" collapsed="false">
      <c r="A8" s="95" t="n">
        <v>5</v>
      </c>
      <c r="B8" s="95" t="s">
        <v>36</v>
      </c>
      <c r="C8" s="95" t="s">
        <v>17</v>
      </c>
      <c r="D8" s="95" t="s">
        <v>1268</v>
      </c>
      <c r="E8" s="95" t="s">
        <v>1269</v>
      </c>
      <c r="F8" s="95" t="s">
        <v>1270</v>
      </c>
      <c r="G8" s="95" t="s">
        <v>1271</v>
      </c>
    </row>
    <row r="9" customFormat="false" ht="120" hidden="false" customHeight="true" outlineLevel="0" collapsed="false">
      <c r="A9" s="95" t="n">
        <v>6</v>
      </c>
      <c r="B9" s="95" t="s">
        <v>41</v>
      </c>
      <c r="C9" s="95" t="s">
        <v>17</v>
      </c>
      <c r="D9" s="95" t="s">
        <v>1272</v>
      </c>
      <c r="E9" s="95" t="s">
        <v>1273</v>
      </c>
      <c r="F9" s="95" t="s">
        <v>1274</v>
      </c>
      <c r="G9" s="95" t="s">
        <v>1255</v>
      </c>
    </row>
    <row r="10" customFormat="false" ht="120" hidden="false" customHeight="true" outlineLevel="0" collapsed="false">
      <c r="A10" s="95" t="n">
        <v>7</v>
      </c>
      <c r="B10" s="95" t="s">
        <v>44</v>
      </c>
      <c r="C10" s="95" t="s">
        <v>17</v>
      </c>
      <c r="D10" s="95" t="s">
        <v>1275</v>
      </c>
      <c r="E10" s="95" t="s">
        <v>1276</v>
      </c>
      <c r="F10" s="95" t="s">
        <v>1277</v>
      </c>
      <c r="G10" s="95" t="s">
        <v>1278</v>
      </c>
    </row>
    <row r="11" customFormat="false" ht="120" hidden="false" customHeight="true" outlineLevel="0" collapsed="false">
      <c r="A11" s="95" t="n">
        <v>8</v>
      </c>
      <c r="B11" s="95" t="s">
        <v>47</v>
      </c>
      <c r="C11" s="95" t="s">
        <v>17</v>
      </c>
      <c r="D11" s="95" t="s">
        <v>1279</v>
      </c>
      <c r="E11" s="95" t="s">
        <v>1280</v>
      </c>
      <c r="F11" s="95" t="s">
        <v>1281</v>
      </c>
      <c r="G11" s="95" t="s">
        <v>1282</v>
      </c>
    </row>
    <row r="12" customFormat="false" ht="120" hidden="false" customHeight="true" outlineLevel="0" collapsed="false">
      <c r="A12" s="95" t="n">
        <v>9</v>
      </c>
      <c r="B12" s="95" t="s">
        <v>50</v>
      </c>
      <c r="C12" s="95" t="s">
        <v>17</v>
      </c>
      <c r="D12" s="95" t="s">
        <v>1283</v>
      </c>
      <c r="E12" s="95" t="s">
        <v>1284</v>
      </c>
      <c r="F12" s="95" t="s">
        <v>1285</v>
      </c>
      <c r="G12" s="95" t="s">
        <v>1286</v>
      </c>
    </row>
    <row r="13" customFormat="false" ht="120" hidden="false" customHeight="true" outlineLevel="0" collapsed="false">
      <c r="A13" s="95" t="n">
        <v>10</v>
      </c>
      <c r="B13" s="95" t="s">
        <v>53</v>
      </c>
      <c r="C13" s="95" t="s">
        <v>17</v>
      </c>
      <c r="D13" s="95" t="s">
        <v>1287</v>
      </c>
      <c r="E13" s="95" t="s">
        <v>1288</v>
      </c>
      <c r="F13" s="95" t="s">
        <v>1289</v>
      </c>
      <c r="G13" s="95" t="s">
        <v>1290</v>
      </c>
    </row>
    <row r="14" customFormat="false" ht="120" hidden="false" customHeight="true" outlineLevel="0" collapsed="false">
      <c r="A14" s="96" t="n">
        <v>11</v>
      </c>
      <c r="B14" s="96" t="s">
        <v>56</v>
      </c>
      <c r="C14" s="96" t="s">
        <v>57</v>
      </c>
      <c r="D14" s="96" t="s">
        <v>1291</v>
      </c>
      <c r="E14" s="96" t="s">
        <v>1292</v>
      </c>
      <c r="F14" s="96" t="s">
        <v>1293</v>
      </c>
      <c r="G14" s="96" t="s">
        <v>1294</v>
      </c>
    </row>
    <row r="15" customFormat="false" ht="120" hidden="false" customHeight="true" outlineLevel="0" collapsed="false">
      <c r="A15" s="96" t="n">
        <v>12</v>
      </c>
      <c r="B15" s="96" t="s">
        <v>61</v>
      </c>
      <c r="C15" s="96" t="s">
        <v>57</v>
      </c>
      <c r="D15" s="96" t="s">
        <v>1295</v>
      </c>
      <c r="E15" s="96" t="s">
        <v>1296</v>
      </c>
      <c r="F15" s="96" t="s">
        <v>1297</v>
      </c>
      <c r="G15" s="96" t="s">
        <v>1298</v>
      </c>
    </row>
    <row r="16" customFormat="false" ht="120" hidden="false" customHeight="true" outlineLevel="0" collapsed="false">
      <c r="A16" s="96" t="n">
        <v>13</v>
      </c>
      <c r="B16" s="96" t="s">
        <v>65</v>
      </c>
      <c r="C16" s="96" t="s">
        <v>57</v>
      </c>
      <c r="D16" s="96" t="s">
        <v>1299</v>
      </c>
      <c r="E16" s="96" t="s">
        <v>1300</v>
      </c>
      <c r="F16" s="96" t="s">
        <v>1301</v>
      </c>
      <c r="G16" s="96" t="s">
        <v>1302</v>
      </c>
    </row>
    <row r="17" customFormat="false" ht="120" hidden="false" customHeight="true" outlineLevel="0" collapsed="false">
      <c r="A17" s="96" t="n">
        <v>14</v>
      </c>
      <c r="B17" s="96" t="s">
        <v>69</v>
      </c>
      <c r="C17" s="96" t="s">
        <v>57</v>
      </c>
      <c r="D17" s="96" t="s">
        <v>1303</v>
      </c>
      <c r="E17" s="96" t="s">
        <v>1304</v>
      </c>
      <c r="F17" s="96" t="s">
        <v>1305</v>
      </c>
      <c r="G17" s="96" t="s">
        <v>1306</v>
      </c>
    </row>
    <row r="18" customFormat="false" ht="120" hidden="false" customHeight="true" outlineLevel="0" collapsed="false">
      <c r="A18" s="96" t="n">
        <v>15</v>
      </c>
      <c r="B18" s="96" t="s">
        <v>73</v>
      </c>
      <c r="C18" s="96" t="s">
        <v>57</v>
      </c>
      <c r="D18" s="96" t="s">
        <v>1307</v>
      </c>
      <c r="E18" s="96" t="s">
        <v>1308</v>
      </c>
      <c r="F18" s="96" t="s">
        <v>1309</v>
      </c>
      <c r="G18" s="96" t="s">
        <v>1310</v>
      </c>
    </row>
    <row r="19" customFormat="false" ht="120" hidden="false" customHeight="true" outlineLevel="0" collapsed="false">
      <c r="A19" s="96" t="n">
        <v>16</v>
      </c>
      <c r="B19" s="96" t="s">
        <v>77</v>
      </c>
      <c r="C19" s="96" t="s">
        <v>57</v>
      </c>
      <c r="D19" s="96" t="s">
        <v>1311</v>
      </c>
      <c r="E19" s="96" t="s">
        <v>1312</v>
      </c>
      <c r="F19" s="96" t="s">
        <v>1313</v>
      </c>
      <c r="G19" s="96" t="s">
        <v>1314</v>
      </c>
    </row>
    <row r="20" customFormat="false" ht="120" hidden="false" customHeight="true" outlineLevel="0" collapsed="false">
      <c r="A20" s="96" t="n">
        <v>17</v>
      </c>
      <c r="B20" s="96" t="s">
        <v>81</v>
      </c>
      <c r="C20" s="96" t="s">
        <v>57</v>
      </c>
      <c r="D20" s="96" t="s">
        <v>1315</v>
      </c>
      <c r="E20" s="96" t="s">
        <v>1316</v>
      </c>
      <c r="F20" s="96" t="s">
        <v>1317</v>
      </c>
      <c r="G20" s="96" t="s">
        <v>1318</v>
      </c>
    </row>
    <row r="21" customFormat="false" ht="120" hidden="false" customHeight="true" outlineLevel="0" collapsed="false">
      <c r="A21" s="96" t="n">
        <v>18</v>
      </c>
      <c r="B21" s="96" t="s">
        <v>84</v>
      </c>
      <c r="C21" s="96" t="s">
        <v>57</v>
      </c>
      <c r="D21" s="96" t="s">
        <v>1319</v>
      </c>
      <c r="E21" s="96" t="s">
        <v>1320</v>
      </c>
      <c r="F21" s="96" t="s">
        <v>1321</v>
      </c>
      <c r="G21" s="96" t="s">
        <v>1322</v>
      </c>
    </row>
    <row r="22" customFormat="false" ht="120" hidden="false" customHeight="true" outlineLevel="0" collapsed="false">
      <c r="A22" s="97" t="n">
        <v>19</v>
      </c>
      <c r="B22" s="97" t="s">
        <v>87</v>
      </c>
      <c r="C22" s="97" t="s">
        <v>88</v>
      </c>
      <c r="D22" s="97" t="s">
        <v>1323</v>
      </c>
      <c r="E22" s="97" t="s">
        <v>1324</v>
      </c>
      <c r="F22" s="97" t="s">
        <v>1325</v>
      </c>
      <c r="G22" s="97" t="s">
        <v>1326</v>
      </c>
    </row>
    <row r="23" customFormat="false" ht="120" hidden="false" customHeight="true" outlineLevel="0" collapsed="false">
      <c r="A23" s="97" t="n">
        <v>20</v>
      </c>
      <c r="B23" s="97" t="s">
        <v>94</v>
      </c>
      <c r="C23" s="97" t="s">
        <v>88</v>
      </c>
      <c r="D23" s="97" t="s">
        <v>1327</v>
      </c>
      <c r="E23" s="97" t="s">
        <v>1328</v>
      </c>
      <c r="F23" s="97" t="s">
        <v>1329</v>
      </c>
      <c r="G23" s="97" t="s">
        <v>1330</v>
      </c>
    </row>
    <row r="24" customFormat="false" ht="120" hidden="false" customHeight="true" outlineLevel="0" collapsed="false">
      <c r="A24" s="97" t="n">
        <v>21</v>
      </c>
      <c r="B24" s="97" t="s">
        <v>98</v>
      </c>
      <c r="C24" s="97" t="s">
        <v>88</v>
      </c>
      <c r="D24" s="97" t="s">
        <v>1331</v>
      </c>
      <c r="E24" s="97" t="s">
        <v>1332</v>
      </c>
      <c r="F24" s="97" t="s">
        <v>1333</v>
      </c>
      <c r="G24" s="97" t="s">
        <v>1334</v>
      </c>
    </row>
    <row r="25" customFormat="false" ht="120" hidden="false" customHeight="true" outlineLevel="0" collapsed="false">
      <c r="A25" s="97" t="n">
        <v>22</v>
      </c>
      <c r="B25" s="97" t="s">
        <v>103</v>
      </c>
      <c r="C25" s="97" t="s">
        <v>88</v>
      </c>
      <c r="D25" s="97" t="s">
        <v>1335</v>
      </c>
      <c r="E25" s="97" t="s">
        <v>1336</v>
      </c>
      <c r="F25" s="97" t="s">
        <v>1337</v>
      </c>
      <c r="G25" s="97" t="s">
        <v>1338</v>
      </c>
    </row>
    <row r="26" customFormat="false" ht="120" hidden="false" customHeight="true" outlineLevel="0" collapsed="false">
      <c r="A26" s="97" t="n">
        <v>23</v>
      </c>
      <c r="B26" s="97" t="s">
        <v>106</v>
      </c>
      <c r="C26" s="97" t="s">
        <v>88</v>
      </c>
      <c r="D26" s="97" t="s">
        <v>1339</v>
      </c>
      <c r="E26" s="97" t="s">
        <v>1340</v>
      </c>
      <c r="F26" s="97" t="s">
        <v>1341</v>
      </c>
      <c r="G26" s="97" t="s">
        <v>1342</v>
      </c>
    </row>
    <row r="27" customFormat="false" ht="120" hidden="false" customHeight="true" outlineLevel="0" collapsed="false">
      <c r="A27" s="97" t="n">
        <v>24</v>
      </c>
      <c r="B27" s="97" t="s">
        <v>110</v>
      </c>
      <c r="C27" s="97" t="s">
        <v>88</v>
      </c>
      <c r="D27" s="97" t="s">
        <v>1343</v>
      </c>
      <c r="E27" s="97" t="s">
        <v>1344</v>
      </c>
      <c r="F27" s="97" t="s">
        <v>1345</v>
      </c>
      <c r="G27" s="97" t="s">
        <v>1346</v>
      </c>
    </row>
    <row r="28" customFormat="false" ht="120" hidden="false" customHeight="true" outlineLevel="0" collapsed="false">
      <c r="A28" s="97" t="n">
        <v>25</v>
      </c>
      <c r="B28" s="97" t="s">
        <v>115</v>
      </c>
      <c r="C28" s="97" t="s">
        <v>88</v>
      </c>
      <c r="D28" s="97" t="s">
        <v>1347</v>
      </c>
      <c r="E28" s="97" t="s">
        <v>1348</v>
      </c>
      <c r="F28" s="97" t="s">
        <v>1349</v>
      </c>
      <c r="G28" s="97" t="s">
        <v>1350</v>
      </c>
    </row>
    <row r="29" customFormat="false" ht="120" hidden="false" customHeight="true" outlineLevel="0" collapsed="false">
      <c r="A29" s="97" t="n">
        <v>26</v>
      </c>
      <c r="B29" s="97" t="s">
        <v>119</v>
      </c>
      <c r="C29" s="97" t="s">
        <v>88</v>
      </c>
      <c r="D29" s="97" t="s">
        <v>1351</v>
      </c>
      <c r="E29" s="97" t="s">
        <v>1352</v>
      </c>
      <c r="F29" s="97" t="s">
        <v>1353</v>
      </c>
      <c r="G29" s="97" t="s">
        <v>1354</v>
      </c>
    </row>
    <row r="30" customFormat="false" ht="120" hidden="false" customHeight="true" outlineLevel="0" collapsed="false">
      <c r="A30" s="97" t="n">
        <v>27</v>
      </c>
      <c r="B30" s="97" t="s">
        <v>123</v>
      </c>
      <c r="C30" s="97" t="s">
        <v>88</v>
      </c>
      <c r="D30" s="97" t="s">
        <v>1355</v>
      </c>
      <c r="E30" s="97" t="s">
        <v>1356</v>
      </c>
      <c r="F30" s="97" t="s">
        <v>1357</v>
      </c>
      <c r="G30" s="97" t="s">
        <v>1358</v>
      </c>
    </row>
    <row r="31" customFormat="false" ht="120" hidden="false" customHeight="true" outlineLevel="0" collapsed="false">
      <c r="A31" s="97" t="n">
        <v>28</v>
      </c>
      <c r="B31" s="97" t="s">
        <v>126</v>
      </c>
      <c r="C31" s="97" t="s">
        <v>88</v>
      </c>
      <c r="D31" s="97" t="s">
        <v>1359</v>
      </c>
      <c r="E31" s="97" t="s">
        <v>1360</v>
      </c>
      <c r="F31" s="97" t="s">
        <v>1361</v>
      </c>
      <c r="G31" s="97" t="s">
        <v>1362</v>
      </c>
    </row>
    <row r="32" customFormat="false" ht="120" hidden="false" customHeight="true" outlineLevel="0" collapsed="false">
      <c r="A32" s="97" t="n">
        <v>29</v>
      </c>
      <c r="B32" s="97" t="s">
        <v>129</v>
      </c>
      <c r="C32" s="97" t="s">
        <v>88</v>
      </c>
      <c r="D32" s="97" t="s">
        <v>1363</v>
      </c>
      <c r="E32" s="97" t="s">
        <v>1364</v>
      </c>
      <c r="F32" s="97" t="s">
        <v>1365</v>
      </c>
      <c r="G32" s="97" t="s">
        <v>1366</v>
      </c>
    </row>
    <row r="33" customFormat="false" ht="120" hidden="false" customHeight="true" outlineLevel="0" collapsed="false">
      <c r="A33" s="97" t="n">
        <v>30</v>
      </c>
      <c r="B33" s="97" t="s">
        <v>131</v>
      </c>
      <c r="C33" s="97" t="s">
        <v>88</v>
      </c>
      <c r="D33" s="97" t="s">
        <v>1367</v>
      </c>
      <c r="E33" s="97" t="s">
        <v>1368</v>
      </c>
      <c r="F33" s="97" t="s">
        <v>1369</v>
      </c>
      <c r="G33" s="97" t="s">
        <v>1370</v>
      </c>
    </row>
    <row r="34" customFormat="false" ht="120" hidden="false" customHeight="true" outlineLevel="0" collapsed="false">
      <c r="A34" s="95" t="n">
        <v>31</v>
      </c>
      <c r="B34" s="95" t="s">
        <v>292</v>
      </c>
      <c r="C34" s="95" t="s">
        <v>136</v>
      </c>
      <c r="D34" s="95" t="s">
        <v>1371</v>
      </c>
      <c r="E34" s="95" t="s">
        <v>1372</v>
      </c>
      <c r="F34" s="95" t="s">
        <v>1373</v>
      </c>
      <c r="G34" s="95" t="s">
        <v>1374</v>
      </c>
    </row>
    <row r="35" customFormat="false" ht="120" hidden="false" customHeight="true" outlineLevel="0" collapsed="false">
      <c r="A35" s="95" t="n">
        <v>32</v>
      </c>
      <c r="B35" s="95" t="s">
        <v>135</v>
      </c>
      <c r="C35" s="95" t="s">
        <v>136</v>
      </c>
      <c r="D35" s="95" t="s">
        <v>1375</v>
      </c>
      <c r="E35" s="95" t="s">
        <v>1376</v>
      </c>
      <c r="F35" s="95" t="s">
        <v>1377</v>
      </c>
      <c r="G35" s="95" t="s">
        <v>1378</v>
      </c>
    </row>
    <row r="36" customFormat="false" ht="120" hidden="false" customHeight="true" outlineLevel="0" collapsed="false">
      <c r="A36" s="95" t="n">
        <v>33</v>
      </c>
      <c r="B36" s="95" t="s">
        <v>139</v>
      </c>
      <c r="C36" s="95" t="s">
        <v>136</v>
      </c>
      <c r="D36" s="95" t="s">
        <v>1379</v>
      </c>
      <c r="E36" s="95" t="s">
        <v>1380</v>
      </c>
      <c r="F36" s="95" t="s">
        <v>1381</v>
      </c>
      <c r="G36" s="95" t="s">
        <v>1382</v>
      </c>
    </row>
    <row r="37" customFormat="false" ht="120" hidden="false" customHeight="true" outlineLevel="0" collapsed="false">
      <c r="A37" s="95" t="n">
        <v>34</v>
      </c>
      <c r="B37" s="95" t="s">
        <v>142</v>
      </c>
      <c r="C37" s="95" t="s">
        <v>136</v>
      </c>
      <c r="D37" s="95" t="s">
        <v>1383</v>
      </c>
      <c r="E37" s="95" t="s">
        <v>1384</v>
      </c>
      <c r="F37" s="95" t="s">
        <v>1385</v>
      </c>
      <c r="G37" s="95" t="s">
        <v>1386</v>
      </c>
    </row>
    <row r="38" customFormat="false" ht="120" hidden="false" customHeight="true" outlineLevel="0" collapsed="false">
      <c r="A38" s="95" t="n">
        <v>35</v>
      </c>
      <c r="B38" s="95" t="s">
        <v>147</v>
      </c>
      <c r="C38" s="95" t="s">
        <v>136</v>
      </c>
      <c r="D38" s="95" t="s">
        <v>1387</v>
      </c>
      <c r="E38" s="95" t="s">
        <v>1388</v>
      </c>
      <c r="F38" s="95" t="s">
        <v>1389</v>
      </c>
      <c r="G38" s="95" t="s">
        <v>1390</v>
      </c>
    </row>
    <row r="39" customFormat="false" ht="120" hidden="false" customHeight="true" outlineLevel="0" collapsed="false">
      <c r="A39" s="95" t="n">
        <v>36</v>
      </c>
      <c r="B39" s="95" t="s">
        <v>150</v>
      </c>
      <c r="C39" s="95" t="s">
        <v>136</v>
      </c>
      <c r="D39" s="95" t="s">
        <v>1391</v>
      </c>
      <c r="E39" s="95" t="s">
        <v>1392</v>
      </c>
      <c r="F39" s="95" t="s">
        <v>1393</v>
      </c>
      <c r="G39" s="95" t="s">
        <v>1394</v>
      </c>
    </row>
    <row r="40" customFormat="false" ht="120" hidden="false" customHeight="true" outlineLevel="0" collapsed="false">
      <c r="A40" s="95" t="n">
        <v>37</v>
      </c>
      <c r="B40" s="95" t="s">
        <v>153</v>
      </c>
      <c r="C40" s="95" t="s">
        <v>136</v>
      </c>
      <c r="D40" s="95" t="s">
        <v>1395</v>
      </c>
      <c r="E40" s="95" t="s">
        <v>1396</v>
      </c>
      <c r="F40" s="95" t="s">
        <v>1321</v>
      </c>
      <c r="G40" s="95" t="s">
        <v>1390</v>
      </c>
    </row>
    <row r="41" customFormat="false" ht="120" hidden="false" customHeight="true" outlineLevel="0" collapsed="false">
      <c r="A41" s="95" t="n">
        <v>38</v>
      </c>
      <c r="B41" s="95" t="s">
        <v>154</v>
      </c>
      <c r="C41" s="95" t="s">
        <v>136</v>
      </c>
      <c r="D41" s="95" t="s">
        <v>1397</v>
      </c>
      <c r="E41" s="95" t="s">
        <v>1352</v>
      </c>
      <c r="F41" s="95" t="s">
        <v>1398</v>
      </c>
      <c r="G41" s="95" t="s">
        <v>1399</v>
      </c>
    </row>
    <row r="42" customFormat="false" ht="120" hidden="false" customHeight="true" outlineLevel="0" collapsed="false">
      <c r="A42" s="95" t="n">
        <v>39</v>
      </c>
      <c r="B42" s="95" t="s">
        <v>157</v>
      </c>
      <c r="C42" s="95" t="s">
        <v>136</v>
      </c>
      <c r="D42" s="95" t="s">
        <v>1400</v>
      </c>
      <c r="E42" s="95" t="s">
        <v>1401</v>
      </c>
      <c r="F42" s="95" t="s">
        <v>1402</v>
      </c>
      <c r="G42" s="95" t="s">
        <v>1403</v>
      </c>
    </row>
    <row r="43" customFormat="false" ht="120" hidden="false" customHeight="true" outlineLevel="0" collapsed="false">
      <c r="A43" s="95" t="n">
        <v>40</v>
      </c>
      <c r="B43" s="95" t="s">
        <v>160</v>
      </c>
      <c r="C43" s="95" t="s">
        <v>136</v>
      </c>
      <c r="D43" s="95" t="s">
        <v>1404</v>
      </c>
      <c r="E43" s="95" t="s">
        <v>1405</v>
      </c>
      <c r="F43" s="95" t="s">
        <v>1406</v>
      </c>
      <c r="G43" s="95" t="s">
        <v>1407</v>
      </c>
    </row>
    <row r="44" customFormat="false" ht="120" hidden="false" customHeight="true" outlineLevel="0" collapsed="false">
      <c r="A44" s="96" t="n">
        <v>41</v>
      </c>
      <c r="B44" s="96" t="s">
        <v>165</v>
      </c>
      <c r="C44" s="96" t="s">
        <v>166</v>
      </c>
      <c r="D44" s="96" t="s">
        <v>1408</v>
      </c>
      <c r="E44" s="96" t="s">
        <v>1320</v>
      </c>
      <c r="F44" s="96" t="s">
        <v>1409</v>
      </c>
      <c r="G44" s="96" t="s">
        <v>1410</v>
      </c>
    </row>
    <row r="45" customFormat="false" ht="120" hidden="false" customHeight="true" outlineLevel="0" collapsed="false">
      <c r="A45" s="96" t="n">
        <v>42</v>
      </c>
      <c r="B45" s="96" t="s">
        <v>168</v>
      </c>
      <c r="C45" s="96" t="s">
        <v>166</v>
      </c>
      <c r="D45" s="96" t="s">
        <v>1411</v>
      </c>
      <c r="E45" s="96" t="s">
        <v>1412</v>
      </c>
      <c r="F45" s="96" t="s">
        <v>1413</v>
      </c>
      <c r="G45" s="96" t="s">
        <v>1414</v>
      </c>
    </row>
    <row r="46" customFormat="false" ht="120" hidden="false" customHeight="true" outlineLevel="0" collapsed="false">
      <c r="A46" s="96" t="n">
        <v>43</v>
      </c>
      <c r="B46" s="96" t="s">
        <v>172</v>
      </c>
      <c r="C46" s="96" t="s">
        <v>166</v>
      </c>
      <c r="D46" s="96" t="s">
        <v>1415</v>
      </c>
      <c r="E46" s="96" t="s">
        <v>1416</v>
      </c>
      <c r="F46" s="96" t="s">
        <v>1417</v>
      </c>
      <c r="G46" s="96" t="s">
        <v>1418</v>
      </c>
    </row>
    <row r="47" customFormat="false" ht="120" hidden="false" customHeight="true" outlineLevel="0" collapsed="false">
      <c r="A47" s="96" t="n">
        <v>44</v>
      </c>
      <c r="B47" s="96" t="s">
        <v>174</v>
      </c>
      <c r="C47" s="96" t="s">
        <v>166</v>
      </c>
      <c r="D47" s="96" t="s">
        <v>1419</v>
      </c>
      <c r="E47" s="96" t="s">
        <v>1420</v>
      </c>
      <c r="F47" s="96" t="s">
        <v>1421</v>
      </c>
      <c r="G47" s="96" t="s">
        <v>1422</v>
      </c>
    </row>
    <row r="48" customFormat="false" ht="120" hidden="false" customHeight="true" outlineLevel="0" collapsed="false">
      <c r="A48" s="96" t="n">
        <v>45</v>
      </c>
      <c r="B48" s="96" t="s">
        <v>177</v>
      </c>
      <c r="C48" s="96" t="s">
        <v>166</v>
      </c>
      <c r="D48" s="96" t="s">
        <v>1423</v>
      </c>
      <c r="E48" s="96" t="s">
        <v>1320</v>
      </c>
      <c r="F48" s="96" t="s">
        <v>1409</v>
      </c>
      <c r="G48" s="96" t="s">
        <v>1424</v>
      </c>
    </row>
    <row r="49" customFormat="false" ht="120" hidden="false" customHeight="true" outlineLevel="0" collapsed="false">
      <c r="A49" s="96" t="n">
        <v>46</v>
      </c>
      <c r="B49" s="96" t="s">
        <v>180</v>
      </c>
      <c r="C49" s="96" t="s">
        <v>166</v>
      </c>
      <c r="D49" s="96" t="s">
        <v>1425</v>
      </c>
      <c r="E49" s="96" t="s">
        <v>1426</v>
      </c>
      <c r="F49" s="96" t="s">
        <v>1427</v>
      </c>
      <c r="G49" s="96" t="s">
        <v>1390</v>
      </c>
    </row>
    <row r="50" customFormat="false" ht="120" hidden="false" customHeight="true" outlineLevel="0" collapsed="false">
      <c r="A50" s="96" t="n">
        <v>47</v>
      </c>
      <c r="B50" s="96" t="s">
        <v>183</v>
      </c>
      <c r="C50" s="96" t="s">
        <v>166</v>
      </c>
      <c r="D50" s="96" t="s">
        <v>1428</v>
      </c>
      <c r="E50" s="96" t="s">
        <v>1429</v>
      </c>
      <c r="F50" s="96" t="s">
        <v>1409</v>
      </c>
      <c r="G50" s="96" t="s">
        <v>1390</v>
      </c>
    </row>
    <row r="51" customFormat="false" ht="120" hidden="false" customHeight="true" outlineLevel="0" collapsed="false">
      <c r="A51" s="96" t="n">
        <v>48</v>
      </c>
      <c r="B51" s="96" t="s">
        <v>187</v>
      </c>
      <c r="C51" s="96" t="s">
        <v>166</v>
      </c>
      <c r="D51" s="96" t="s">
        <v>1430</v>
      </c>
      <c r="E51" s="96" t="s">
        <v>1431</v>
      </c>
      <c r="F51" s="96" t="s">
        <v>1409</v>
      </c>
      <c r="G51" s="96" t="s">
        <v>1410</v>
      </c>
    </row>
    <row r="52" customFormat="false" ht="120" hidden="false" customHeight="true" outlineLevel="0" collapsed="false">
      <c r="A52" s="96" t="n">
        <v>49</v>
      </c>
      <c r="B52" s="96" t="s">
        <v>189</v>
      </c>
      <c r="C52" s="96" t="s">
        <v>166</v>
      </c>
      <c r="D52" s="96" t="s">
        <v>1432</v>
      </c>
      <c r="E52" s="96" t="s">
        <v>1433</v>
      </c>
      <c r="F52" s="96" t="s">
        <v>1409</v>
      </c>
      <c r="G52" s="96" t="s">
        <v>1390</v>
      </c>
    </row>
    <row r="53" customFormat="false" ht="120" hidden="false" customHeight="true" outlineLevel="0" collapsed="false">
      <c r="A53" s="96" t="n">
        <v>50</v>
      </c>
      <c r="B53" s="96" t="s">
        <v>192</v>
      </c>
      <c r="C53" s="96" t="s">
        <v>166</v>
      </c>
      <c r="D53" s="96" t="s">
        <v>1434</v>
      </c>
      <c r="E53" s="96" t="s">
        <v>1435</v>
      </c>
      <c r="F53" s="96" t="s">
        <v>1436</v>
      </c>
      <c r="G53" s="96" t="s">
        <v>1414</v>
      </c>
    </row>
    <row r="54" customFormat="false" ht="120" hidden="false" customHeight="true" outlineLevel="0" collapsed="false">
      <c r="A54" s="96" t="n">
        <v>51</v>
      </c>
      <c r="B54" s="96" t="s">
        <v>194</v>
      </c>
      <c r="C54" s="96" t="s">
        <v>195</v>
      </c>
      <c r="D54" s="96" t="s">
        <v>1437</v>
      </c>
      <c r="E54" s="96" t="s">
        <v>1438</v>
      </c>
      <c r="F54" s="96" t="s">
        <v>1409</v>
      </c>
      <c r="G54" s="96" t="s">
        <v>1414</v>
      </c>
    </row>
    <row r="55" customFormat="false" ht="120" hidden="false" customHeight="true" outlineLevel="0" collapsed="false">
      <c r="A55" s="96" t="n">
        <v>52</v>
      </c>
      <c r="B55" s="96" t="s">
        <v>198</v>
      </c>
      <c r="C55" s="96" t="s">
        <v>195</v>
      </c>
      <c r="D55" s="96" t="s">
        <v>1439</v>
      </c>
      <c r="E55" s="96" t="s">
        <v>1440</v>
      </c>
      <c r="F55" s="96" t="s">
        <v>1441</v>
      </c>
      <c r="G55" s="96" t="s">
        <v>1442</v>
      </c>
    </row>
    <row r="56" customFormat="false" ht="120" hidden="false" customHeight="true" outlineLevel="0" collapsed="false">
      <c r="A56" s="96" t="n">
        <v>53</v>
      </c>
      <c r="B56" s="96" t="s">
        <v>200</v>
      </c>
      <c r="C56" s="96" t="s">
        <v>195</v>
      </c>
      <c r="D56" s="96" t="s">
        <v>1443</v>
      </c>
      <c r="E56" s="96" t="s">
        <v>1444</v>
      </c>
      <c r="F56" s="96" t="s">
        <v>1445</v>
      </c>
      <c r="G56" s="96" t="s">
        <v>1446</v>
      </c>
    </row>
    <row r="57" customFormat="false" ht="120" hidden="false" customHeight="true" outlineLevel="0" collapsed="false">
      <c r="A57" s="96" t="n">
        <v>54</v>
      </c>
      <c r="B57" s="96" t="s">
        <v>202</v>
      </c>
      <c r="C57" s="96" t="s">
        <v>195</v>
      </c>
      <c r="D57" s="96" t="s">
        <v>1447</v>
      </c>
      <c r="E57" s="96" t="s">
        <v>1448</v>
      </c>
      <c r="F57" s="96" t="s">
        <v>1449</v>
      </c>
      <c r="G57" s="96" t="s">
        <v>1450</v>
      </c>
    </row>
    <row r="58" customFormat="false" ht="120" hidden="false" customHeight="true" outlineLevel="0" collapsed="false">
      <c r="A58" s="96" t="n">
        <v>55</v>
      </c>
      <c r="B58" s="96" t="s">
        <v>205</v>
      </c>
      <c r="C58" s="96" t="s">
        <v>195</v>
      </c>
      <c r="D58" s="96" t="s">
        <v>1451</v>
      </c>
      <c r="E58" s="96" t="s">
        <v>1452</v>
      </c>
      <c r="F58" s="96" t="s">
        <v>1453</v>
      </c>
      <c r="G58" s="96" t="s">
        <v>1418</v>
      </c>
    </row>
    <row r="59" customFormat="false" ht="120" hidden="false" customHeight="true" outlineLevel="0" collapsed="false">
      <c r="A59" s="96" t="n">
        <v>56</v>
      </c>
      <c r="B59" s="96" t="s">
        <v>206</v>
      </c>
      <c r="C59" s="96" t="s">
        <v>195</v>
      </c>
      <c r="D59" s="96" t="s">
        <v>1454</v>
      </c>
      <c r="E59" s="96" t="s">
        <v>1455</v>
      </c>
      <c r="F59" s="96" t="s">
        <v>1456</v>
      </c>
      <c r="G59" s="96" t="s">
        <v>1457</v>
      </c>
    </row>
    <row r="60" customFormat="false" ht="120" hidden="false" customHeight="true" outlineLevel="0" collapsed="false">
      <c r="A60" s="96" t="n">
        <v>57</v>
      </c>
      <c r="B60" s="96" t="s">
        <v>209</v>
      </c>
      <c r="C60" s="96" t="s">
        <v>195</v>
      </c>
      <c r="D60" s="96" t="s">
        <v>1458</v>
      </c>
      <c r="E60" s="96" t="s">
        <v>1459</v>
      </c>
      <c r="F60" s="96" t="s">
        <v>1460</v>
      </c>
      <c r="G60" s="96" t="s">
        <v>1410</v>
      </c>
    </row>
    <row r="61" customFormat="false" ht="120" hidden="false" customHeight="true" outlineLevel="0" collapsed="false">
      <c r="A61" s="96" t="n">
        <v>58</v>
      </c>
      <c r="B61" s="96" t="s">
        <v>210</v>
      </c>
      <c r="C61" s="96" t="s">
        <v>195</v>
      </c>
      <c r="D61" s="96" t="s">
        <v>1461</v>
      </c>
      <c r="E61" s="96" t="s">
        <v>1462</v>
      </c>
      <c r="F61" s="96" t="s">
        <v>1463</v>
      </c>
      <c r="G61" s="96" t="s">
        <v>1418</v>
      </c>
    </row>
    <row r="62" customFormat="false" ht="120" hidden="false" customHeight="true" outlineLevel="0" collapsed="false">
      <c r="A62" s="96" t="n">
        <v>59</v>
      </c>
      <c r="B62" s="96" t="s">
        <v>212</v>
      </c>
      <c r="C62" s="96" t="s">
        <v>195</v>
      </c>
      <c r="D62" s="96" t="s">
        <v>1464</v>
      </c>
      <c r="E62" s="96" t="s">
        <v>1465</v>
      </c>
      <c r="F62" s="96" t="s">
        <v>1466</v>
      </c>
      <c r="G62" s="96" t="s">
        <v>1467</v>
      </c>
    </row>
    <row r="63" customFormat="false" ht="120" hidden="false" customHeight="true" outlineLevel="0" collapsed="false">
      <c r="A63" s="96" t="n">
        <v>60</v>
      </c>
      <c r="B63" s="96" t="s">
        <v>214</v>
      </c>
      <c r="C63" s="96" t="s">
        <v>195</v>
      </c>
      <c r="D63" s="96" t="s">
        <v>1468</v>
      </c>
      <c r="E63" s="96" t="s">
        <v>1469</v>
      </c>
      <c r="F63" s="96" t="s">
        <v>1470</v>
      </c>
      <c r="G63" s="96" t="s">
        <v>1418</v>
      </c>
    </row>
    <row r="64" customFormat="false" ht="98.5" hidden="false" customHeight="false" outlineLevel="0" collapsed="false">
      <c r="A64" s="98" t="n">
        <v>61</v>
      </c>
      <c r="B64" s="98" t="s">
        <v>216</v>
      </c>
      <c r="C64" s="98" t="s">
        <v>217</v>
      </c>
      <c r="D64" s="98" t="s">
        <v>1471</v>
      </c>
      <c r="E64" s="98" t="s">
        <v>1472</v>
      </c>
      <c r="F64" s="98" t="s">
        <v>1473</v>
      </c>
      <c r="G64" s="98" t="s">
        <v>1403</v>
      </c>
    </row>
    <row r="65" customFormat="false" ht="98.5" hidden="false" customHeight="false" outlineLevel="0" collapsed="false">
      <c r="A65" s="98" t="n">
        <v>62</v>
      </c>
      <c r="B65" s="98" t="s">
        <v>218</v>
      </c>
      <c r="C65" s="98" t="s">
        <v>217</v>
      </c>
      <c r="D65" s="98" t="s">
        <v>1474</v>
      </c>
      <c r="E65" s="98" t="s">
        <v>1475</v>
      </c>
      <c r="F65" s="98" t="s">
        <v>1476</v>
      </c>
      <c r="G65" s="98" t="s">
        <v>1410</v>
      </c>
    </row>
    <row r="66" customFormat="false" ht="88.8" hidden="false" customHeight="false" outlineLevel="0" collapsed="false">
      <c r="A66" s="98" t="n">
        <v>63</v>
      </c>
      <c r="B66" s="98" t="s">
        <v>219</v>
      </c>
      <c r="C66" s="98" t="s">
        <v>217</v>
      </c>
      <c r="D66" s="98" t="s">
        <v>1477</v>
      </c>
      <c r="E66" s="98" t="s">
        <v>1478</v>
      </c>
      <c r="F66" s="98" t="s">
        <v>1479</v>
      </c>
      <c r="G66" s="98" t="s">
        <v>1418</v>
      </c>
    </row>
    <row r="67" customFormat="false" ht="108.2" hidden="false" customHeight="false" outlineLevel="0" collapsed="false">
      <c r="A67" s="98" t="n">
        <v>64</v>
      </c>
      <c r="B67" s="98" t="s">
        <v>221</v>
      </c>
      <c r="C67" s="98" t="s">
        <v>217</v>
      </c>
      <c r="D67" s="98" t="s">
        <v>1480</v>
      </c>
      <c r="E67" s="98" t="s">
        <v>1481</v>
      </c>
      <c r="F67" s="98" t="s">
        <v>1482</v>
      </c>
      <c r="G67" s="98" t="s">
        <v>1483</v>
      </c>
    </row>
    <row r="68" customFormat="false" ht="98.5" hidden="false" customHeight="false" outlineLevel="0" collapsed="false">
      <c r="A68" s="98" t="n">
        <v>65</v>
      </c>
      <c r="B68" s="98" t="s">
        <v>225</v>
      </c>
      <c r="C68" s="98" t="s">
        <v>217</v>
      </c>
      <c r="D68" s="98" t="s">
        <v>1484</v>
      </c>
      <c r="E68" s="98" t="s">
        <v>1485</v>
      </c>
      <c r="F68" s="98" t="s">
        <v>1486</v>
      </c>
      <c r="G68" s="98" t="s">
        <v>1422</v>
      </c>
    </row>
    <row r="69" customFormat="false" ht="88.8" hidden="false" customHeight="false" outlineLevel="0" collapsed="false">
      <c r="A69" s="98" t="n">
        <v>66</v>
      </c>
      <c r="B69" s="98" t="s">
        <v>227</v>
      </c>
      <c r="C69" s="98" t="s">
        <v>217</v>
      </c>
      <c r="D69" s="98" t="s">
        <v>1487</v>
      </c>
      <c r="E69" s="98" t="s">
        <v>1488</v>
      </c>
      <c r="F69" s="98" t="s">
        <v>1489</v>
      </c>
      <c r="G69" s="98" t="s">
        <v>1390</v>
      </c>
    </row>
    <row r="70" customFormat="false" ht="88.8" hidden="false" customHeight="false" outlineLevel="0" collapsed="false">
      <c r="A70" s="98" t="n">
        <v>67</v>
      </c>
      <c r="B70" s="98" t="s">
        <v>229</v>
      </c>
      <c r="C70" s="98" t="s">
        <v>217</v>
      </c>
      <c r="D70" s="98" t="s">
        <v>1490</v>
      </c>
      <c r="E70" s="98" t="s">
        <v>1491</v>
      </c>
      <c r="F70" s="98" t="s">
        <v>1492</v>
      </c>
      <c r="G70" s="98" t="s">
        <v>1403</v>
      </c>
    </row>
    <row r="71" customFormat="false" ht="88.8" hidden="false" customHeight="false" outlineLevel="0" collapsed="false">
      <c r="A71" s="98" t="n">
        <v>68</v>
      </c>
      <c r="B71" s="98" t="s">
        <v>231</v>
      </c>
      <c r="C71" s="98" t="s">
        <v>217</v>
      </c>
      <c r="D71" s="98" t="s">
        <v>1493</v>
      </c>
      <c r="E71" s="98" t="s">
        <v>1494</v>
      </c>
      <c r="F71" s="98" t="s">
        <v>1495</v>
      </c>
      <c r="G71" s="98" t="s">
        <v>1410</v>
      </c>
    </row>
    <row r="72" customFormat="false" ht="98.5" hidden="false" customHeight="false" outlineLevel="0" collapsed="false">
      <c r="A72" s="98" t="n">
        <v>69</v>
      </c>
      <c r="B72" s="98" t="s">
        <v>233</v>
      </c>
      <c r="C72" s="98" t="s">
        <v>217</v>
      </c>
      <c r="D72" s="98" t="s">
        <v>1496</v>
      </c>
      <c r="E72" s="98" t="s">
        <v>1497</v>
      </c>
      <c r="F72" s="98" t="s">
        <v>1498</v>
      </c>
      <c r="G72" s="98" t="s">
        <v>1418</v>
      </c>
    </row>
    <row r="73" customFormat="false" ht="88.8" hidden="false" customHeight="false" outlineLevel="0" collapsed="false">
      <c r="A73" s="98" t="n">
        <v>70</v>
      </c>
      <c r="B73" s="98" t="s">
        <v>236</v>
      </c>
      <c r="C73" s="98" t="s">
        <v>217</v>
      </c>
      <c r="D73" s="98" t="s">
        <v>1499</v>
      </c>
      <c r="E73" s="98" t="s">
        <v>1320</v>
      </c>
      <c r="F73" s="98" t="s">
        <v>1321</v>
      </c>
      <c r="G73" s="98" t="s">
        <v>1390</v>
      </c>
    </row>
    <row r="74" customFormat="false" ht="88.8" hidden="false" customHeight="false" outlineLevel="0" collapsed="false">
      <c r="A74" s="97" t="n">
        <v>71</v>
      </c>
      <c r="B74" s="97" t="s">
        <v>238</v>
      </c>
      <c r="C74" s="97" t="s">
        <v>239</v>
      </c>
      <c r="D74" s="97" t="s">
        <v>1500</v>
      </c>
      <c r="E74" s="97" t="s">
        <v>1431</v>
      </c>
      <c r="F74" s="97" t="s">
        <v>1409</v>
      </c>
      <c r="G74" s="97" t="s">
        <v>1390</v>
      </c>
    </row>
    <row r="75" customFormat="false" ht="98.5" hidden="false" customHeight="false" outlineLevel="0" collapsed="false">
      <c r="A75" s="97" t="n">
        <v>72</v>
      </c>
      <c r="B75" s="97" t="s">
        <v>240</v>
      </c>
      <c r="C75" s="97" t="s">
        <v>239</v>
      </c>
      <c r="D75" s="97" t="s">
        <v>1501</v>
      </c>
      <c r="E75" s="97" t="s">
        <v>1502</v>
      </c>
      <c r="F75" s="97" t="s">
        <v>1498</v>
      </c>
      <c r="G75" s="97" t="s">
        <v>1403</v>
      </c>
    </row>
    <row r="76" customFormat="false" ht="98.5" hidden="false" customHeight="false" outlineLevel="0" collapsed="false">
      <c r="A76" s="97" t="n">
        <v>73</v>
      </c>
      <c r="B76" s="97" t="s">
        <v>242</v>
      </c>
      <c r="C76" s="97" t="s">
        <v>239</v>
      </c>
      <c r="D76" s="97" t="s">
        <v>1503</v>
      </c>
      <c r="E76" s="97" t="s">
        <v>1504</v>
      </c>
      <c r="F76" s="97" t="s">
        <v>1505</v>
      </c>
      <c r="G76" s="97" t="s">
        <v>1410</v>
      </c>
    </row>
    <row r="77" customFormat="false" ht="88.8" hidden="false" customHeight="false" outlineLevel="0" collapsed="false">
      <c r="A77" s="97" t="n">
        <v>74</v>
      </c>
      <c r="B77" s="97" t="s">
        <v>244</v>
      </c>
      <c r="C77" s="97" t="s">
        <v>239</v>
      </c>
      <c r="D77" s="97" t="s">
        <v>1506</v>
      </c>
      <c r="E77" s="97" t="s">
        <v>1320</v>
      </c>
      <c r="F77" s="97" t="s">
        <v>1321</v>
      </c>
      <c r="G77" s="97" t="s">
        <v>1390</v>
      </c>
    </row>
    <row r="78" customFormat="false" ht="98.5" hidden="false" customHeight="false" outlineLevel="0" collapsed="false">
      <c r="A78" s="97" t="n">
        <v>75</v>
      </c>
      <c r="B78" s="97" t="s">
        <v>247</v>
      </c>
      <c r="C78" s="97" t="s">
        <v>239</v>
      </c>
      <c r="D78" s="97" t="s">
        <v>1507</v>
      </c>
      <c r="E78" s="97" t="s">
        <v>1440</v>
      </c>
      <c r="F78" s="97" t="s">
        <v>1321</v>
      </c>
      <c r="G78" s="97" t="s">
        <v>1414</v>
      </c>
    </row>
    <row r="79" customFormat="false" ht="88.8" hidden="false" customHeight="false" outlineLevel="0" collapsed="false">
      <c r="A79" s="97" t="n">
        <v>76</v>
      </c>
      <c r="B79" s="97" t="s">
        <v>249</v>
      </c>
      <c r="C79" s="97" t="s">
        <v>239</v>
      </c>
      <c r="D79" s="97" t="s">
        <v>1508</v>
      </c>
      <c r="E79" s="97" t="s">
        <v>1509</v>
      </c>
      <c r="F79" s="97" t="s">
        <v>1510</v>
      </c>
      <c r="G79" s="97" t="s">
        <v>1390</v>
      </c>
    </row>
    <row r="80" customFormat="false" ht="98.5" hidden="false" customHeight="false" outlineLevel="0" collapsed="false">
      <c r="A80" s="97" t="n">
        <v>77</v>
      </c>
      <c r="B80" s="97" t="s">
        <v>251</v>
      </c>
      <c r="C80" s="97" t="s">
        <v>239</v>
      </c>
      <c r="D80" s="97" t="s">
        <v>1511</v>
      </c>
      <c r="E80" s="97" t="s">
        <v>1440</v>
      </c>
      <c r="F80" s="97" t="s">
        <v>1321</v>
      </c>
      <c r="G80" s="97" t="s">
        <v>1390</v>
      </c>
    </row>
    <row r="81" customFormat="false" ht="98.5" hidden="false" customHeight="false" outlineLevel="0" collapsed="false">
      <c r="A81" s="97" t="n">
        <v>78</v>
      </c>
      <c r="B81" s="97" t="s">
        <v>254</v>
      </c>
      <c r="C81" s="97" t="s">
        <v>239</v>
      </c>
      <c r="D81" s="97" t="s">
        <v>1512</v>
      </c>
      <c r="E81" s="97" t="s">
        <v>1513</v>
      </c>
      <c r="F81" s="97" t="s">
        <v>1409</v>
      </c>
      <c r="G81" s="97" t="s">
        <v>1403</v>
      </c>
    </row>
    <row r="82" customFormat="false" ht="88.8" hidden="false" customHeight="false" outlineLevel="0" collapsed="false">
      <c r="A82" s="97" t="n">
        <v>79</v>
      </c>
      <c r="B82" s="97" t="s">
        <v>256</v>
      </c>
      <c r="C82" s="97" t="s">
        <v>239</v>
      </c>
      <c r="D82" s="97" t="s">
        <v>1514</v>
      </c>
      <c r="E82" s="97" t="s">
        <v>1440</v>
      </c>
      <c r="F82" s="97" t="s">
        <v>1321</v>
      </c>
      <c r="G82" s="97" t="s">
        <v>1390</v>
      </c>
    </row>
    <row r="83" customFormat="false" ht="88.8" hidden="false" customHeight="false" outlineLevel="0" collapsed="false">
      <c r="A83" s="97" t="n">
        <v>80</v>
      </c>
      <c r="B83" s="97" t="s">
        <v>258</v>
      </c>
      <c r="C83" s="97" t="s">
        <v>239</v>
      </c>
      <c r="D83" s="97" t="s">
        <v>1515</v>
      </c>
      <c r="E83" s="97" t="s">
        <v>1516</v>
      </c>
      <c r="F83" s="97" t="s">
        <v>1517</v>
      </c>
      <c r="G83" s="97" t="s">
        <v>1418</v>
      </c>
    </row>
    <row r="84" customFormat="false" ht="88.8" hidden="false" customHeight="false" outlineLevel="0" collapsed="false">
      <c r="A84" s="99" t="n">
        <v>81</v>
      </c>
      <c r="B84" s="99" t="s">
        <v>261</v>
      </c>
      <c r="C84" s="99" t="s">
        <v>262</v>
      </c>
      <c r="D84" s="99" t="s">
        <v>1518</v>
      </c>
      <c r="E84" s="99" t="s">
        <v>1519</v>
      </c>
      <c r="F84" s="99" t="s">
        <v>1409</v>
      </c>
      <c r="G84" s="99" t="s">
        <v>1390</v>
      </c>
    </row>
    <row r="85" customFormat="false" ht="98.5" hidden="false" customHeight="false" outlineLevel="0" collapsed="false">
      <c r="A85" s="99" t="n">
        <v>82</v>
      </c>
      <c r="B85" s="99" t="s">
        <v>263</v>
      </c>
      <c r="C85" s="99" t="s">
        <v>262</v>
      </c>
      <c r="D85" s="99" t="s">
        <v>1520</v>
      </c>
      <c r="E85" s="99" t="s">
        <v>1320</v>
      </c>
      <c r="F85" s="99" t="s">
        <v>1321</v>
      </c>
      <c r="G85" s="99" t="s">
        <v>1390</v>
      </c>
    </row>
    <row r="86" customFormat="false" ht="98.5" hidden="false" customHeight="false" outlineLevel="0" collapsed="false">
      <c r="A86" s="99" t="n">
        <v>83</v>
      </c>
      <c r="B86" s="99" t="s">
        <v>266</v>
      </c>
      <c r="C86" s="99" t="s">
        <v>262</v>
      </c>
      <c r="D86" s="99" t="s">
        <v>1521</v>
      </c>
      <c r="E86" s="99" t="s">
        <v>1522</v>
      </c>
      <c r="F86" s="99" t="s">
        <v>1523</v>
      </c>
      <c r="G86" s="99" t="s">
        <v>1403</v>
      </c>
    </row>
    <row r="87" customFormat="false" ht="98.5" hidden="false" customHeight="false" outlineLevel="0" collapsed="false">
      <c r="A87" s="99" t="n">
        <v>84</v>
      </c>
      <c r="B87" s="99" t="s">
        <v>270</v>
      </c>
      <c r="C87" s="99" t="s">
        <v>262</v>
      </c>
      <c r="D87" s="99" t="s">
        <v>1524</v>
      </c>
      <c r="E87" s="99" t="s">
        <v>1440</v>
      </c>
      <c r="F87" s="99" t="s">
        <v>1321</v>
      </c>
      <c r="G87" s="99" t="s">
        <v>1390</v>
      </c>
    </row>
    <row r="88" customFormat="false" ht="88.8" hidden="false" customHeight="false" outlineLevel="0" collapsed="false">
      <c r="A88" s="99" t="n">
        <v>85</v>
      </c>
      <c r="B88" s="99" t="s">
        <v>271</v>
      </c>
      <c r="C88" s="99" t="s">
        <v>262</v>
      </c>
      <c r="D88" s="99" t="s">
        <v>1525</v>
      </c>
      <c r="E88" s="99" t="s">
        <v>1519</v>
      </c>
      <c r="F88" s="99" t="s">
        <v>1409</v>
      </c>
      <c r="G88" s="99" t="s">
        <v>1414</v>
      </c>
    </row>
    <row r="89" customFormat="false" ht="98.5" hidden="false" customHeight="false" outlineLevel="0" collapsed="false">
      <c r="A89" s="99" t="n">
        <v>86</v>
      </c>
      <c r="B89" s="99" t="s">
        <v>273</v>
      </c>
      <c r="C89" s="99" t="s">
        <v>262</v>
      </c>
      <c r="D89" s="99" t="s">
        <v>1526</v>
      </c>
      <c r="E89" s="99" t="s">
        <v>1527</v>
      </c>
      <c r="F89" s="99" t="s">
        <v>1495</v>
      </c>
      <c r="G89" s="99" t="s">
        <v>1528</v>
      </c>
    </row>
    <row r="90" customFormat="false" ht="98.5" hidden="false" customHeight="false" outlineLevel="0" collapsed="false">
      <c r="A90" s="99" t="n">
        <v>87</v>
      </c>
      <c r="B90" s="99" t="s">
        <v>275</v>
      </c>
      <c r="C90" s="99" t="s">
        <v>262</v>
      </c>
      <c r="D90" s="99" t="s">
        <v>1529</v>
      </c>
      <c r="E90" s="99" t="s">
        <v>1530</v>
      </c>
      <c r="F90" s="99" t="s">
        <v>1531</v>
      </c>
      <c r="G90" s="99" t="s">
        <v>1410</v>
      </c>
    </row>
    <row r="91" customFormat="false" ht="98.5" hidden="false" customHeight="false" outlineLevel="0" collapsed="false">
      <c r="A91" s="99" t="n">
        <v>88</v>
      </c>
      <c r="B91" s="99" t="s">
        <v>277</v>
      </c>
      <c r="C91" s="99" t="s">
        <v>262</v>
      </c>
      <c r="D91" s="99" t="s">
        <v>1532</v>
      </c>
      <c r="E91" s="99" t="s">
        <v>1533</v>
      </c>
      <c r="F91" s="99" t="s">
        <v>1534</v>
      </c>
      <c r="G91" s="99" t="s">
        <v>1535</v>
      </c>
    </row>
    <row r="92" customFormat="false" ht="98.5" hidden="false" customHeight="false" outlineLevel="0" collapsed="false">
      <c r="A92" s="99" t="n">
        <v>89</v>
      </c>
      <c r="B92" s="99" t="s">
        <v>279</v>
      </c>
      <c r="C92" s="99" t="s">
        <v>262</v>
      </c>
      <c r="D92" s="99" t="s">
        <v>1536</v>
      </c>
      <c r="E92" s="99" t="s">
        <v>1537</v>
      </c>
      <c r="F92" s="99" t="s">
        <v>1498</v>
      </c>
      <c r="G92" s="99" t="s">
        <v>1414</v>
      </c>
    </row>
    <row r="93" customFormat="false" ht="98.5" hidden="false" customHeight="false" outlineLevel="0" collapsed="false">
      <c r="A93" s="99" t="n">
        <v>90</v>
      </c>
      <c r="B93" s="99" t="s">
        <v>280</v>
      </c>
      <c r="C93" s="99" t="s">
        <v>262</v>
      </c>
      <c r="D93" s="99" t="s">
        <v>1538</v>
      </c>
      <c r="E93" s="99" t="s">
        <v>1539</v>
      </c>
      <c r="F93" s="99" t="s">
        <v>1540</v>
      </c>
      <c r="G93" s="99" t="s">
        <v>1418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10"/>
    <col collapsed="false" customWidth="true" hidden="false" outlineLevel="0" max="4" min="4" style="1" width="20"/>
    <col collapsed="false" customWidth="true" hidden="false" outlineLevel="0" max="5" min="5" style="1" width="22"/>
    <col collapsed="false" customWidth="true" hidden="false" outlineLevel="0" max="6" min="6" style="1" width="25"/>
    <col collapsed="false" customWidth="true" hidden="false" outlineLevel="0" max="7" min="7" style="1" width="28"/>
    <col collapsed="false" customWidth="true" hidden="false" outlineLevel="0" max="8" min="8" style="1" width="15"/>
    <col collapsed="false" customWidth="true" hidden="false" outlineLevel="0" max="9" min="9" style="1" width="12"/>
    <col collapsed="false" customWidth="true" hidden="false" outlineLevel="0" max="10" min="10" style="1" width="18"/>
    <col collapsed="false" customWidth="true" hidden="false" outlineLevel="0" max="11" min="11" style="1" width="45"/>
  </cols>
  <sheetData>
    <row r="1" customFormat="false" ht="30" hidden="false" customHeight="true" outlineLevel="0" collapsed="false">
      <c r="A1" s="100" t="s">
        <v>1541</v>
      </c>
      <c r="B1" s="100"/>
      <c r="C1" s="100"/>
      <c r="D1" s="100"/>
      <c r="E1" s="100"/>
      <c r="F1" s="100"/>
      <c r="G1" s="100"/>
      <c r="H1" s="100"/>
      <c r="I1" s="100"/>
      <c r="J1" s="100"/>
    </row>
    <row r="2" customFormat="false" ht="15" hidden="false" customHeight="true" outlineLevel="0" collapsed="false">
      <c r="A2" s="93" t="s">
        <v>1542</v>
      </c>
      <c r="B2" s="93"/>
      <c r="C2" s="93"/>
      <c r="D2" s="93"/>
      <c r="E2" s="93"/>
      <c r="F2" s="93"/>
      <c r="G2" s="93"/>
      <c r="H2" s="93"/>
      <c r="I2" s="93"/>
      <c r="J2" s="93"/>
    </row>
    <row r="3" customFormat="false" ht="24.75" hidden="false" customHeight="true" outlineLevel="0" collapsed="false">
      <c r="A3" s="94" t="s">
        <v>2</v>
      </c>
      <c r="B3" s="94" t="s">
        <v>1247</v>
      </c>
      <c r="C3" s="94" t="s">
        <v>4</v>
      </c>
      <c r="D3" s="94" t="s">
        <v>1543</v>
      </c>
      <c r="E3" s="94" t="s">
        <v>1544</v>
      </c>
      <c r="F3" s="94" t="s">
        <v>1545</v>
      </c>
      <c r="G3" s="94" t="s">
        <v>1546</v>
      </c>
      <c r="H3" s="94" t="s">
        <v>1547</v>
      </c>
      <c r="I3" s="94" t="s">
        <v>1548</v>
      </c>
      <c r="J3" s="94" t="s">
        <v>1549</v>
      </c>
      <c r="K3" s="94" t="s">
        <v>1550</v>
      </c>
    </row>
    <row r="4" customFormat="false" ht="60" hidden="false" customHeight="true" outlineLevel="0" collapsed="false">
      <c r="A4" s="95" t="n">
        <v>1</v>
      </c>
      <c r="B4" s="95" t="s">
        <v>16</v>
      </c>
      <c r="C4" s="95" t="s">
        <v>17</v>
      </c>
      <c r="D4" s="95" t="s">
        <v>1551</v>
      </c>
      <c r="E4" s="95" t="s">
        <v>1552</v>
      </c>
      <c r="F4" s="95" t="s">
        <v>1553</v>
      </c>
      <c r="G4" s="95" t="s">
        <v>1554</v>
      </c>
      <c r="H4" s="95" t="s">
        <v>1555</v>
      </c>
      <c r="I4" s="95" t="s">
        <v>1556</v>
      </c>
      <c r="J4" s="95" t="s">
        <v>1557</v>
      </c>
      <c r="K4" s="95" t="s">
        <v>1558</v>
      </c>
    </row>
    <row r="5" customFormat="false" ht="60" hidden="false" customHeight="true" outlineLevel="0" collapsed="false">
      <c r="A5" s="95" t="n">
        <v>2</v>
      </c>
      <c r="B5" s="95" t="s">
        <v>23</v>
      </c>
      <c r="C5" s="95" t="s">
        <v>17</v>
      </c>
      <c r="D5" s="95" t="s">
        <v>1551</v>
      </c>
      <c r="E5" s="95" t="s">
        <v>1559</v>
      </c>
      <c r="F5" s="95" t="s">
        <v>1560</v>
      </c>
      <c r="G5" s="95" t="s">
        <v>1561</v>
      </c>
      <c r="H5" s="95" t="s">
        <v>1562</v>
      </c>
      <c r="I5" s="95" t="s">
        <v>1563</v>
      </c>
      <c r="J5" s="95" t="s">
        <v>1557</v>
      </c>
      <c r="K5" s="95" t="s">
        <v>1564</v>
      </c>
    </row>
    <row r="6" customFormat="false" ht="60" hidden="false" customHeight="true" outlineLevel="0" collapsed="false">
      <c r="A6" s="95" t="n">
        <v>3</v>
      </c>
      <c r="B6" s="95" t="s">
        <v>27</v>
      </c>
      <c r="C6" s="95" t="s">
        <v>17</v>
      </c>
      <c r="D6" s="95" t="s">
        <v>1565</v>
      </c>
      <c r="E6" s="95" t="s">
        <v>1566</v>
      </c>
      <c r="F6" s="95" t="s">
        <v>1567</v>
      </c>
      <c r="G6" s="95" t="s">
        <v>1568</v>
      </c>
      <c r="H6" s="95" t="s">
        <v>1263</v>
      </c>
      <c r="I6" s="95" t="s">
        <v>1569</v>
      </c>
      <c r="J6" s="95" t="s">
        <v>1570</v>
      </c>
      <c r="K6" s="95" t="s">
        <v>1571</v>
      </c>
    </row>
    <row r="7" customFormat="false" ht="60" hidden="false" customHeight="true" outlineLevel="0" collapsed="false">
      <c r="A7" s="95" t="n">
        <v>4</v>
      </c>
      <c r="B7" s="95" t="s">
        <v>1572</v>
      </c>
      <c r="C7" s="95" t="s">
        <v>17</v>
      </c>
      <c r="D7" s="95" t="s">
        <v>1551</v>
      </c>
      <c r="E7" s="95" t="s">
        <v>1573</v>
      </c>
      <c r="F7" s="95" t="s">
        <v>1574</v>
      </c>
      <c r="G7" s="95" t="s">
        <v>1575</v>
      </c>
      <c r="H7" s="95" t="s">
        <v>1576</v>
      </c>
      <c r="I7" s="95" t="s">
        <v>1577</v>
      </c>
      <c r="J7" s="95" t="s">
        <v>1557</v>
      </c>
      <c r="K7" s="95" t="s">
        <v>1578</v>
      </c>
    </row>
    <row r="8" customFormat="false" ht="60" hidden="false" customHeight="true" outlineLevel="0" collapsed="false">
      <c r="A8" s="95" t="n">
        <v>5</v>
      </c>
      <c r="B8" s="95" t="s">
        <v>36</v>
      </c>
      <c r="C8" s="95" t="s">
        <v>17</v>
      </c>
      <c r="D8" s="95" t="s">
        <v>1579</v>
      </c>
      <c r="E8" s="95" t="s">
        <v>1580</v>
      </c>
      <c r="F8" s="95" t="s">
        <v>1581</v>
      </c>
      <c r="G8" s="95" t="s">
        <v>1582</v>
      </c>
      <c r="H8" s="95" t="s">
        <v>1583</v>
      </c>
      <c r="I8" s="95" t="s">
        <v>1584</v>
      </c>
      <c r="J8" s="95" t="s">
        <v>1585</v>
      </c>
      <c r="K8" s="95" t="s">
        <v>1586</v>
      </c>
    </row>
    <row r="9" customFormat="false" ht="60" hidden="false" customHeight="true" outlineLevel="0" collapsed="false">
      <c r="A9" s="95" t="n">
        <v>6</v>
      </c>
      <c r="B9" s="95" t="s">
        <v>41</v>
      </c>
      <c r="C9" s="95" t="s">
        <v>17</v>
      </c>
      <c r="D9" s="95" t="s">
        <v>1551</v>
      </c>
      <c r="E9" s="95" t="s">
        <v>1587</v>
      </c>
      <c r="F9" s="95" t="s">
        <v>1588</v>
      </c>
      <c r="G9" s="95" t="s">
        <v>1589</v>
      </c>
      <c r="H9" s="95" t="s">
        <v>1255</v>
      </c>
      <c r="I9" s="95" t="s">
        <v>1590</v>
      </c>
      <c r="J9" s="95" t="s">
        <v>1591</v>
      </c>
      <c r="K9" s="95" t="s">
        <v>1592</v>
      </c>
    </row>
    <row r="10" customFormat="false" ht="60" hidden="false" customHeight="true" outlineLevel="0" collapsed="false">
      <c r="A10" s="95" t="n">
        <v>7</v>
      </c>
      <c r="B10" s="95" t="s">
        <v>44</v>
      </c>
      <c r="C10" s="95" t="s">
        <v>17</v>
      </c>
      <c r="D10" s="95" t="s">
        <v>1551</v>
      </c>
      <c r="E10" s="95" t="s">
        <v>1593</v>
      </c>
      <c r="F10" s="95" t="s">
        <v>1594</v>
      </c>
      <c r="G10" s="95" t="s">
        <v>1595</v>
      </c>
      <c r="H10" s="95" t="s">
        <v>1278</v>
      </c>
      <c r="I10" s="95" t="s">
        <v>1596</v>
      </c>
      <c r="J10" s="95" t="s">
        <v>1597</v>
      </c>
      <c r="K10" s="95" t="s">
        <v>1598</v>
      </c>
    </row>
    <row r="11" customFormat="false" ht="60" hidden="false" customHeight="true" outlineLevel="0" collapsed="false">
      <c r="A11" s="95" t="n">
        <v>8</v>
      </c>
      <c r="B11" s="95" t="s">
        <v>47</v>
      </c>
      <c r="C11" s="95" t="s">
        <v>17</v>
      </c>
      <c r="D11" s="95" t="s">
        <v>1551</v>
      </c>
      <c r="E11" s="95" t="s">
        <v>1599</v>
      </c>
      <c r="F11" s="95" t="s">
        <v>1600</v>
      </c>
      <c r="G11" s="95" t="s">
        <v>1601</v>
      </c>
      <c r="H11" s="95" t="s">
        <v>1602</v>
      </c>
      <c r="I11" s="95" t="s">
        <v>1603</v>
      </c>
      <c r="J11" s="95" t="s">
        <v>1557</v>
      </c>
      <c r="K11" s="95" t="s">
        <v>1604</v>
      </c>
    </row>
    <row r="12" customFormat="false" ht="60" hidden="false" customHeight="true" outlineLevel="0" collapsed="false">
      <c r="A12" s="95" t="n">
        <v>9</v>
      </c>
      <c r="B12" s="95" t="s">
        <v>50</v>
      </c>
      <c r="C12" s="95" t="s">
        <v>17</v>
      </c>
      <c r="D12" s="95" t="s">
        <v>1605</v>
      </c>
      <c r="E12" s="95" t="s">
        <v>1606</v>
      </c>
      <c r="F12" s="95" t="s">
        <v>1581</v>
      </c>
      <c r="G12" s="95" t="s">
        <v>1607</v>
      </c>
      <c r="H12" s="95" t="s">
        <v>1608</v>
      </c>
      <c r="I12" s="95" t="s">
        <v>1609</v>
      </c>
      <c r="J12" s="95" t="s">
        <v>1610</v>
      </c>
      <c r="K12" s="95" t="s">
        <v>1611</v>
      </c>
    </row>
    <row r="13" customFormat="false" ht="60" hidden="false" customHeight="true" outlineLevel="0" collapsed="false">
      <c r="A13" s="95" t="n">
        <v>10</v>
      </c>
      <c r="B13" s="95" t="s">
        <v>53</v>
      </c>
      <c r="C13" s="95" t="s">
        <v>17</v>
      </c>
      <c r="D13" s="95" t="s">
        <v>1612</v>
      </c>
      <c r="E13" s="95" t="s">
        <v>1613</v>
      </c>
      <c r="F13" s="95" t="s">
        <v>1614</v>
      </c>
      <c r="G13" s="95" t="s">
        <v>1615</v>
      </c>
      <c r="H13" s="95" t="s">
        <v>1290</v>
      </c>
      <c r="I13" s="95" t="s">
        <v>1616</v>
      </c>
      <c r="J13" s="95" t="s">
        <v>1617</v>
      </c>
      <c r="K13" s="95" t="s">
        <v>1618</v>
      </c>
    </row>
    <row r="14" customFormat="false" ht="60" hidden="false" customHeight="true" outlineLevel="0" collapsed="false">
      <c r="A14" s="96" t="n">
        <v>11</v>
      </c>
      <c r="B14" s="96" t="s">
        <v>56</v>
      </c>
      <c r="C14" s="96" t="s">
        <v>57</v>
      </c>
      <c r="D14" s="96" t="s">
        <v>1612</v>
      </c>
      <c r="E14" s="96" t="s">
        <v>1619</v>
      </c>
      <c r="F14" s="96" t="s">
        <v>1620</v>
      </c>
      <c r="G14" s="96" t="s">
        <v>1621</v>
      </c>
      <c r="H14" s="96" t="s">
        <v>1294</v>
      </c>
      <c r="I14" s="96" t="s">
        <v>1622</v>
      </c>
      <c r="J14" s="96" t="s">
        <v>1623</v>
      </c>
      <c r="K14" s="96" t="s">
        <v>1624</v>
      </c>
    </row>
    <row r="15" customFormat="false" ht="60" hidden="false" customHeight="true" outlineLevel="0" collapsed="false">
      <c r="A15" s="96" t="n">
        <v>12</v>
      </c>
      <c r="B15" s="96" t="s">
        <v>61</v>
      </c>
      <c r="C15" s="96" t="s">
        <v>57</v>
      </c>
      <c r="D15" s="96" t="s">
        <v>1551</v>
      </c>
      <c r="E15" s="96" t="s">
        <v>1625</v>
      </c>
      <c r="F15" s="96" t="s">
        <v>1626</v>
      </c>
      <c r="G15" s="96" t="s">
        <v>1627</v>
      </c>
      <c r="H15" s="96" t="s">
        <v>1298</v>
      </c>
      <c r="I15" s="96" t="s">
        <v>1628</v>
      </c>
      <c r="J15" s="96" t="s">
        <v>1629</v>
      </c>
      <c r="K15" s="96" t="s">
        <v>1630</v>
      </c>
    </row>
    <row r="16" customFormat="false" ht="60" hidden="false" customHeight="true" outlineLevel="0" collapsed="false">
      <c r="A16" s="96" t="n">
        <v>13</v>
      </c>
      <c r="B16" s="96" t="s">
        <v>1631</v>
      </c>
      <c r="C16" s="96" t="s">
        <v>57</v>
      </c>
      <c r="D16" s="96" t="s">
        <v>1551</v>
      </c>
      <c r="E16" s="96" t="s">
        <v>1632</v>
      </c>
      <c r="F16" s="96" t="s">
        <v>1633</v>
      </c>
      <c r="G16" s="96" t="s">
        <v>1634</v>
      </c>
      <c r="H16" s="96" t="s">
        <v>1358</v>
      </c>
      <c r="I16" s="96" t="s">
        <v>1635</v>
      </c>
      <c r="J16" s="96" t="s">
        <v>1636</v>
      </c>
      <c r="K16" s="96" t="s">
        <v>1637</v>
      </c>
    </row>
    <row r="17" customFormat="false" ht="60" hidden="false" customHeight="true" outlineLevel="0" collapsed="false">
      <c r="A17" s="96" t="n">
        <v>14</v>
      </c>
      <c r="B17" s="96" t="s">
        <v>1638</v>
      </c>
      <c r="C17" s="96" t="s">
        <v>57</v>
      </c>
      <c r="D17" s="96" t="s">
        <v>1639</v>
      </c>
      <c r="E17" s="96" t="s">
        <v>1580</v>
      </c>
      <c r="F17" s="96" t="s">
        <v>1640</v>
      </c>
      <c r="G17" s="96" t="s">
        <v>1641</v>
      </c>
      <c r="H17" s="96" t="s">
        <v>1642</v>
      </c>
      <c r="I17" s="96" t="s">
        <v>1643</v>
      </c>
      <c r="J17" s="96" t="s">
        <v>1644</v>
      </c>
      <c r="K17" s="96" t="s">
        <v>1645</v>
      </c>
    </row>
    <row r="18" customFormat="false" ht="60" hidden="false" customHeight="true" outlineLevel="0" collapsed="false">
      <c r="A18" s="96" t="n">
        <v>15</v>
      </c>
      <c r="B18" s="96" t="s">
        <v>73</v>
      </c>
      <c r="C18" s="96" t="s">
        <v>57</v>
      </c>
      <c r="D18" s="96" t="s">
        <v>1612</v>
      </c>
      <c r="E18" s="96" t="s">
        <v>1646</v>
      </c>
      <c r="F18" s="96" t="s">
        <v>1647</v>
      </c>
      <c r="G18" s="96" t="s">
        <v>1648</v>
      </c>
      <c r="H18" s="96" t="s">
        <v>1310</v>
      </c>
      <c r="I18" s="96" t="s">
        <v>1649</v>
      </c>
      <c r="J18" s="96" t="s">
        <v>1650</v>
      </c>
      <c r="K18" s="96" t="s">
        <v>1651</v>
      </c>
    </row>
    <row r="19" customFormat="false" ht="60" hidden="false" customHeight="true" outlineLevel="0" collapsed="false">
      <c r="A19" s="96" t="n">
        <v>16</v>
      </c>
      <c r="B19" s="96" t="s">
        <v>77</v>
      </c>
      <c r="C19" s="96" t="s">
        <v>57</v>
      </c>
      <c r="D19" s="96" t="s">
        <v>1551</v>
      </c>
      <c r="E19" s="96" t="s">
        <v>1652</v>
      </c>
      <c r="F19" s="96" t="s">
        <v>1653</v>
      </c>
      <c r="G19" s="96" t="s">
        <v>1654</v>
      </c>
      <c r="H19" s="96" t="s">
        <v>1655</v>
      </c>
      <c r="I19" s="96" t="s">
        <v>1656</v>
      </c>
      <c r="J19" s="96" t="s">
        <v>1657</v>
      </c>
      <c r="K19" s="96" t="s">
        <v>1658</v>
      </c>
    </row>
    <row r="20" customFormat="false" ht="60" hidden="false" customHeight="true" outlineLevel="0" collapsed="false">
      <c r="A20" s="96" t="n">
        <v>17</v>
      </c>
      <c r="B20" s="96" t="s">
        <v>81</v>
      </c>
      <c r="C20" s="96" t="s">
        <v>57</v>
      </c>
      <c r="D20" s="96" t="s">
        <v>1551</v>
      </c>
      <c r="E20" s="96" t="s">
        <v>1659</v>
      </c>
      <c r="F20" s="96" t="s">
        <v>1660</v>
      </c>
      <c r="G20" s="96" t="s">
        <v>1661</v>
      </c>
      <c r="H20" s="96" t="s">
        <v>1318</v>
      </c>
      <c r="I20" s="96" t="s">
        <v>1662</v>
      </c>
      <c r="J20" s="96" t="s">
        <v>1663</v>
      </c>
      <c r="K20" s="96" t="s">
        <v>1664</v>
      </c>
    </row>
    <row r="21" customFormat="false" ht="60" hidden="false" customHeight="true" outlineLevel="0" collapsed="false">
      <c r="A21" s="96" t="n">
        <v>18</v>
      </c>
      <c r="B21" s="96" t="s">
        <v>84</v>
      </c>
      <c r="C21" s="96" t="s">
        <v>57</v>
      </c>
      <c r="D21" s="96" t="s">
        <v>1551</v>
      </c>
      <c r="E21" s="96" t="s">
        <v>1665</v>
      </c>
      <c r="F21" s="96" t="s">
        <v>1666</v>
      </c>
      <c r="G21" s="96" t="s">
        <v>1575</v>
      </c>
      <c r="H21" s="96" t="s">
        <v>1322</v>
      </c>
      <c r="I21" s="96" t="s">
        <v>1667</v>
      </c>
      <c r="J21" s="96" t="s">
        <v>1557</v>
      </c>
      <c r="K21" s="96" t="s">
        <v>1668</v>
      </c>
    </row>
    <row r="22" customFormat="false" ht="60" hidden="false" customHeight="true" outlineLevel="0" collapsed="false">
      <c r="A22" s="97" t="n">
        <v>19</v>
      </c>
      <c r="B22" s="97" t="s">
        <v>87</v>
      </c>
      <c r="C22" s="97" t="s">
        <v>88</v>
      </c>
      <c r="D22" s="97" t="s">
        <v>1551</v>
      </c>
      <c r="E22" s="97" t="s">
        <v>1669</v>
      </c>
      <c r="F22" s="97" t="s">
        <v>1670</v>
      </c>
      <c r="G22" s="97" t="s">
        <v>1671</v>
      </c>
      <c r="H22" s="97" t="s">
        <v>1326</v>
      </c>
      <c r="I22" s="97" t="s">
        <v>1672</v>
      </c>
      <c r="J22" s="97" t="s">
        <v>1673</v>
      </c>
      <c r="K22" s="97" t="s">
        <v>1674</v>
      </c>
    </row>
    <row r="23" customFormat="false" ht="60" hidden="false" customHeight="true" outlineLevel="0" collapsed="false">
      <c r="A23" s="97" t="n">
        <v>20</v>
      </c>
      <c r="B23" s="97" t="s">
        <v>94</v>
      </c>
      <c r="C23" s="97" t="s">
        <v>88</v>
      </c>
      <c r="D23" s="97" t="s">
        <v>1551</v>
      </c>
      <c r="E23" s="97" t="s">
        <v>1675</v>
      </c>
      <c r="F23" s="97" t="s">
        <v>1676</v>
      </c>
      <c r="G23" s="97" t="s">
        <v>1677</v>
      </c>
      <c r="H23" s="97" t="s">
        <v>1330</v>
      </c>
      <c r="I23" s="97" t="s">
        <v>1678</v>
      </c>
      <c r="J23" s="97" t="s">
        <v>1679</v>
      </c>
      <c r="K23" s="97" t="s">
        <v>1680</v>
      </c>
    </row>
    <row r="24" customFormat="false" ht="60" hidden="false" customHeight="true" outlineLevel="0" collapsed="false">
      <c r="A24" s="97" t="n">
        <v>21</v>
      </c>
      <c r="B24" s="97" t="s">
        <v>98</v>
      </c>
      <c r="C24" s="97" t="s">
        <v>88</v>
      </c>
      <c r="D24" s="97" t="s">
        <v>1681</v>
      </c>
      <c r="E24" s="97" t="s">
        <v>1682</v>
      </c>
      <c r="F24" s="97" t="s">
        <v>1683</v>
      </c>
      <c r="G24" s="97" t="s">
        <v>1684</v>
      </c>
      <c r="H24" s="97" t="s">
        <v>1334</v>
      </c>
      <c r="I24" s="97" t="s">
        <v>1685</v>
      </c>
      <c r="J24" s="97" t="s">
        <v>1686</v>
      </c>
      <c r="K24" s="97" t="s">
        <v>1687</v>
      </c>
    </row>
    <row r="25" customFormat="false" ht="60" hidden="false" customHeight="true" outlineLevel="0" collapsed="false">
      <c r="A25" s="97" t="n">
        <v>22</v>
      </c>
      <c r="B25" s="97" t="s">
        <v>103</v>
      </c>
      <c r="C25" s="97" t="s">
        <v>88</v>
      </c>
      <c r="D25" s="97" t="s">
        <v>1688</v>
      </c>
      <c r="E25" s="97" t="s">
        <v>1689</v>
      </c>
      <c r="F25" s="97" t="s">
        <v>1690</v>
      </c>
      <c r="G25" s="97" t="s">
        <v>1691</v>
      </c>
      <c r="H25" s="97" t="s">
        <v>1338</v>
      </c>
      <c r="I25" s="97" t="s">
        <v>1692</v>
      </c>
      <c r="J25" s="97" t="s">
        <v>1693</v>
      </c>
      <c r="K25" s="97" t="s">
        <v>1694</v>
      </c>
    </row>
    <row r="26" customFormat="false" ht="60" hidden="false" customHeight="true" outlineLevel="0" collapsed="false">
      <c r="A26" s="97" t="n">
        <v>23</v>
      </c>
      <c r="B26" s="97" t="s">
        <v>106</v>
      </c>
      <c r="C26" s="97" t="s">
        <v>88</v>
      </c>
      <c r="D26" s="97" t="s">
        <v>1551</v>
      </c>
      <c r="E26" s="97" t="s">
        <v>1695</v>
      </c>
      <c r="F26" s="97" t="s">
        <v>1696</v>
      </c>
      <c r="G26" s="97" t="s">
        <v>1697</v>
      </c>
      <c r="H26" s="97" t="s">
        <v>1698</v>
      </c>
      <c r="I26" s="97" t="s">
        <v>1699</v>
      </c>
      <c r="J26" s="97" t="s">
        <v>1700</v>
      </c>
      <c r="K26" s="97" t="s">
        <v>1701</v>
      </c>
    </row>
    <row r="27" customFormat="false" ht="60" hidden="false" customHeight="true" outlineLevel="0" collapsed="false">
      <c r="A27" s="97" t="n">
        <v>24</v>
      </c>
      <c r="B27" s="97" t="s">
        <v>110</v>
      </c>
      <c r="C27" s="97" t="s">
        <v>88</v>
      </c>
      <c r="D27" s="97" t="s">
        <v>1702</v>
      </c>
      <c r="E27" s="97" t="s">
        <v>1703</v>
      </c>
      <c r="F27" s="97" t="s">
        <v>1704</v>
      </c>
      <c r="G27" s="97" t="s">
        <v>1705</v>
      </c>
      <c r="H27" s="97" t="s">
        <v>1706</v>
      </c>
      <c r="I27" s="97" t="s">
        <v>1707</v>
      </c>
      <c r="J27" s="97" t="s">
        <v>1708</v>
      </c>
      <c r="K27" s="97" t="s">
        <v>1709</v>
      </c>
    </row>
    <row r="28" customFormat="false" ht="60" hidden="false" customHeight="true" outlineLevel="0" collapsed="false">
      <c r="A28" s="97" t="n">
        <v>25</v>
      </c>
      <c r="B28" s="97" t="s">
        <v>115</v>
      </c>
      <c r="C28" s="97" t="s">
        <v>88</v>
      </c>
      <c r="D28" s="97" t="s">
        <v>1710</v>
      </c>
      <c r="E28" s="97" t="s">
        <v>1711</v>
      </c>
      <c r="F28" s="97" t="s">
        <v>1640</v>
      </c>
      <c r="G28" s="97" t="s">
        <v>1712</v>
      </c>
      <c r="H28" s="97" t="s">
        <v>1713</v>
      </c>
      <c r="I28" s="97" t="s">
        <v>1714</v>
      </c>
      <c r="J28" s="97" t="s">
        <v>1715</v>
      </c>
      <c r="K28" s="97" t="s">
        <v>1716</v>
      </c>
    </row>
    <row r="29" customFormat="false" ht="60" hidden="false" customHeight="true" outlineLevel="0" collapsed="false">
      <c r="A29" s="97" t="n">
        <v>26</v>
      </c>
      <c r="B29" s="97" t="s">
        <v>119</v>
      </c>
      <c r="C29" s="97" t="s">
        <v>88</v>
      </c>
      <c r="D29" s="97" t="s">
        <v>1551</v>
      </c>
      <c r="E29" s="97" t="s">
        <v>1717</v>
      </c>
      <c r="F29" s="97" t="s">
        <v>1718</v>
      </c>
      <c r="G29" s="97" t="s">
        <v>1719</v>
      </c>
      <c r="H29" s="97" t="s">
        <v>1354</v>
      </c>
      <c r="I29" s="97" t="s">
        <v>1720</v>
      </c>
      <c r="J29" s="97" t="s">
        <v>1721</v>
      </c>
      <c r="K29" s="97" t="s">
        <v>1722</v>
      </c>
    </row>
    <row r="30" customFormat="false" ht="60" hidden="false" customHeight="true" outlineLevel="0" collapsed="false">
      <c r="A30" s="97" t="n">
        <v>27</v>
      </c>
      <c r="B30" s="97" t="s">
        <v>123</v>
      </c>
      <c r="C30" s="97" t="s">
        <v>88</v>
      </c>
      <c r="D30" s="97" t="s">
        <v>1551</v>
      </c>
      <c r="E30" s="97" t="s">
        <v>1723</v>
      </c>
      <c r="F30" s="97" t="s">
        <v>1724</v>
      </c>
      <c r="G30" s="97" t="s">
        <v>1725</v>
      </c>
      <c r="H30" s="97" t="s">
        <v>1358</v>
      </c>
      <c r="I30" s="97" t="s">
        <v>1726</v>
      </c>
      <c r="J30" s="97" t="s">
        <v>1727</v>
      </c>
      <c r="K30" s="97" t="s">
        <v>1728</v>
      </c>
    </row>
    <row r="31" customFormat="false" ht="60" hidden="false" customHeight="true" outlineLevel="0" collapsed="false">
      <c r="A31" s="97" t="n">
        <v>28</v>
      </c>
      <c r="B31" s="97" t="s">
        <v>126</v>
      </c>
      <c r="C31" s="97" t="s">
        <v>88</v>
      </c>
      <c r="D31" s="97" t="s">
        <v>1551</v>
      </c>
      <c r="E31" s="97" t="s">
        <v>1689</v>
      </c>
      <c r="F31" s="97" t="s">
        <v>1729</v>
      </c>
      <c r="G31" s="97" t="s">
        <v>1730</v>
      </c>
      <c r="H31" s="97" t="s">
        <v>1362</v>
      </c>
      <c r="I31" s="97" t="s">
        <v>1731</v>
      </c>
      <c r="J31" s="97" t="s">
        <v>1732</v>
      </c>
      <c r="K31" s="97" t="s">
        <v>1733</v>
      </c>
    </row>
    <row r="32" customFormat="false" ht="60" hidden="false" customHeight="true" outlineLevel="0" collapsed="false">
      <c r="A32" s="97" t="n">
        <v>29</v>
      </c>
      <c r="B32" s="97" t="s">
        <v>129</v>
      </c>
      <c r="C32" s="97" t="s">
        <v>88</v>
      </c>
      <c r="D32" s="97" t="s">
        <v>1551</v>
      </c>
      <c r="E32" s="97" t="s">
        <v>1689</v>
      </c>
      <c r="F32" s="97" t="s">
        <v>1734</v>
      </c>
      <c r="G32" s="97" t="s">
        <v>1735</v>
      </c>
      <c r="H32" s="97" t="s">
        <v>1366</v>
      </c>
      <c r="I32" s="97" t="s">
        <v>1736</v>
      </c>
      <c r="J32" s="97" t="s">
        <v>1732</v>
      </c>
      <c r="K32" s="97" t="s">
        <v>1737</v>
      </c>
    </row>
    <row r="33" customFormat="false" ht="60" hidden="false" customHeight="true" outlineLevel="0" collapsed="false">
      <c r="A33" s="97" t="n">
        <v>30</v>
      </c>
      <c r="B33" s="97" t="s">
        <v>131</v>
      </c>
      <c r="C33" s="97" t="s">
        <v>88</v>
      </c>
      <c r="D33" s="97" t="s">
        <v>1551</v>
      </c>
      <c r="E33" s="97" t="s">
        <v>1689</v>
      </c>
      <c r="F33" s="97" t="s">
        <v>1738</v>
      </c>
      <c r="G33" s="97" t="s">
        <v>1739</v>
      </c>
      <c r="H33" s="97" t="s">
        <v>1370</v>
      </c>
      <c r="I33" s="97" t="s">
        <v>1731</v>
      </c>
      <c r="J33" s="97" t="s">
        <v>1597</v>
      </c>
      <c r="K33" s="97" t="s">
        <v>1740</v>
      </c>
    </row>
    <row r="34" customFormat="false" ht="60" hidden="false" customHeight="true" outlineLevel="0" collapsed="false">
      <c r="A34" s="95" t="n">
        <v>31</v>
      </c>
      <c r="B34" s="95" t="s">
        <v>292</v>
      </c>
      <c r="C34" s="95" t="s">
        <v>136</v>
      </c>
      <c r="D34" s="95" t="s">
        <v>1551</v>
      </c>
      <c r="E34" s="95" t="s">
        <v>1741</v>
      </c>
      <c r="F34" s="95" t="s">
        <v>1742</v>
      </c>
      <c r="G34" s="95" t="s">
        <v>1743</v>
      </c>
      <c r="H34" s="95" t="s">
        <v>1744</v>
      </c>
      <c r="I34" s="95" t="s">
        <v>1745</v>
      </c>
      <c r="J34" s="95" t="s">
        <v>1746</v>
      </c>
      <c r="K34" s="95" t="s">
        <v>1747</v>
      </c>
    </row>
    <row r="35" customFormat="false" ht="60" hidden="false" customHeight="true" outlineLevel="0" collapsed="false">
      <c r="A35" s="95" t="n">
        <v>32</v>
      </c>
      <c r="B35" s="95" t="s">
        <v>135</v>
      </c>
      <c r="C35" s="95" t="s">
        <v>136</v>
      </c>
      <c r="D35" s="95" t="s">
        <v>1551</v>
      </c>
      <c r="E35" s="95" t="s">
        <v>1748</v>
      </c>
      <c r="F35" s="95" t="s">
        <v>1749</v>
      </c>
      <c r="G35" s="95" t="s">
        <v>1750</v>
      </c>
      <c r="H35" s="95" t="s">
        <v>1751</v>
      </c>
      <c r="I35" s="95" t="s">
        <v>1649</v>
      </c>
      <c r="J35" s="95" t="s">
        <v>1732</v>
      </c>
      <c r="K35" s="95" t="s">
        <v>1752</v>
      </c>
    </row>
    <row r="36" customFormat="false" ht="60" hidden="false" customHeight="true" outlineLevel="0" collapsed="false">
      <c r="A36" s="95" t="n">
        <v>33</v>
      </c>
      <c r="B36" s="95" t="s">
        <v>139</v>
      </c>
      <c r="C36" s="95" t="s">
        <v>136</v>
      </c>
      <c r="D36" s="95" t="s">
        <v>1551</v>
      </c>
      <c r="E36" s="95" t="s">
        <v>1689</v>
      </c>
      <c r="F36" s="95" t="s">
        <v>1753</v>
      </c>
      <c r="G36" s="95" t="s">
        <v>1754</v>
      </c>
      <c r="H36" s="95" t="s">
        <v>1755</v>
      </c>
      <c r="I36" s="95" t="s">
        <v>1745</v>
      </c>
      <c r="J36" s="95" t="s">
        <v>1557</v>
      </c>
      <c r="K36" s="95" t="s">
        <v>1756</v>
      </c>
    </row>
    <row r="37" customFormat="false" ht="60" hidden="false" customHeight="true" outlineLevel="0" collapsed="false">
      <c r="A37" s="95" t="n">
        <v>34</v>
      </c>
      <c r="B37" s="95" t="s">
        <v>142</v>
      </c>
      <c r="C37" s="95" t="s">
        <v>136</v>
      </c>
      <c r="D37" s="95" t="s">
        <v>1551</v>
      </c>
      <c r="E37" s="95" t="s">
        <v>1689</v>
      </c>
      <c r="F37" s="95" t="s">
        <v>1757</v>
      </c>
      <c r="G37" s="95" t="s">
        <v>1758</v>
      </c>
      <c r="H37" s="95" t="s">
        <v>1759</v>
      </c>
      <c r="I37" s="95" t="s">
        <v>1760</v>
      </c>
      <c r="J37" s="95" t="s">
        <v>1557</v>
      </c>
      <c r="K37" s="95" t="s">
        <v>1761</v>
      </c>
    </row>
    <row r="38" customFormat="false" ht="60" hidden="false" customHeight="true" outlineLevel="0" collapsed="false">
      <c r="A38" s="95" t="n">
        <v>35</v>
      </c>
      <c r="B38" s="95" t="s">
        <v>147</v>
      </c>
      <c r="C38" s="95" t="s">
        <v>136</v>
      </c>
      <c r="D38" s="95" t="s">
        <v>1551</v>
      </c>
      <c r="E38" s="95" t="s">
        <v>1689</v>
      </c>
      <c r="F38" s="95" t="s">
        <v>1762</v>
      </c>
      <c r="G38" s="95" t="s">
        <v>1763</v>
      </c>
      <c r="H38" s="95" t="s">
        <v>1764</v>
      </c>
      <c r="I38" s="95" t="s">
        <v>1760</v>
      </c>
      <c r="J38" s="95" t="s">
        <v>1557</v>
      </c>
      <c r="K38" s="95" t="s">
        <v>1765</v>
      </c>
    </row>
    <row r="39" customFormat="false" ht="60" hidden="false" customHeight="true" outlineLevel="0" collapsed="false">
      <c r="A39" s="95" t="n">
        <v>36</v>
      </c>
      <c r="B39" s="95" t="s">
        <v>150</v>
      </c>
      <c r="C39" s="95" t="s">
        <v>136</v>
      </c>
      <c r="D39" s="95" t="s">
        <v>1551</v>
      </c>
      <c r="E39" s="95" t="s">
        <v>1689</v>
      </c>
      <c r="F39" s="95" t="s">
        <v>1766</v>
      </c>
      <c r="G39" s="95" t="s">
        <v>1767</v>
      </c>
      <c r="H39" s="95" t="s">
        <v>1768</v>
      </c>
      <c r="I39" s="95" t="s">
        <v>1769</v>
      </c>
      <c r="J39" s="95" t="s">
        <v>1770</v>
      </c>
      <c r="K39" s="95" t="s">
        <v>1771</v>
      </c>
    </row>
    <row r="40" customFormat="false" ht="60" hidden="false" customHeight="true" outlineLevel="0" collapsed="false">
      <c r="A40" s="95" t="n">
        <v>37</v>
      </c>
      <c r="B40" s="95" t="s">
        <v>153</v>
      </c>
      <c r="C40" s="95" t="s">
        <v>136</v>
      </c>
      <c r="D40" s="95" t="s">
        <v>1551</v>
      </c>
      <c r="E40" s="95" t="s">
        <v>1689</v>
      </c>
      <c r="F40" s="95" t="s">
        <v>1772</v>
      </c>
      <c r="G40" s="95" t="s">
        <v>1575</v>
      </c>
      <c r="H40" s="95" t="s">
        <v>1764</v>
      </c>
      <c r="I40" s="95" t="s">
        <v>1760</v>
      </c>
      <c r="J40" s="95" t="s">
        <v>1557</v>
      </c>
      <c r="K40" s="95" t="s">
        <v>1773</v>
      </c>
    </row>
    <row r="41" customFormat="false" ht="60" hidden="false" customHeight="true" outlineLevel="0" collapsed="false">
      <c r="A41" s="95" t="n">
        <v>38</v>
      </c>
      <c r="B41" s="95" t="s">
        <v>154</v>
      </c>
      <c r="C41" s="95" t="s">
        <v>136</v>
      </c>
      <c r="D41" s="95" t="s">
        <v>1551</v>
      </c>
      <c r="E41" s="95" t="s">
        <v>1717</v>
      </c>
      <c r="F41" s="95" t="s">
        <v>1774</v>
      </c>
      <c r="G41" s="95" t="s">
        <v>1775</v>
      </c>
      <c r="H41" s="95" t="s">
        <v>1776</v>
      </c>
      <c r="I41" s="95" t="s">
        <v>1649</v>
      </c>
      <c r="J41" s="95" t="s">
        <v>1732</v>
      </c>
      <c r="K41" s="95" t="s">
        <v>1777</v>
      </c>
    </row>
    <row r="42" customFormat="false" ht="60" hidden="false" customHeight="true" outlineLevel="0" collapsed="false">
      <c r="A42" s="95" t="n">
        <v>39</v>
      </c>
      <c r="B42" s="95" t="s">
        <v>157</v>
      </c>
      <c r="C42" s="95" t="s">
        <v>136</v>
      </c>
      <c r="D42" s="95" t="s">
        <v>1551</v>
      </c>
      <c r="E42" s="95" t="s">
        <v>1689</v>
      </c>
      <c r="F42" s="95" t="s">
        <v>1778</v>
      </c>
      <c r="G42" s="95" t="s">
        <v>1779</v>
      </c>
      <c r="H42" s="95" t="s">
        <v>1780</v>
      </c>
      <c r="I42" s="95" t="s">
        <v>1781</v>
      </c>
      <c r="J42" s="95" t="s">
        <v>1597</v>
      </c>
      <c r="K42" s="95" t="s">
        <v>1782</v>
      </c>
    </row>
    <row r="43" customFormat="false" ht="60" hidden="false" customHeight="true" outlineLevel="0" collapsed="false">
      <c r="A43" s="95" t="n">
        <v>40</v>
      </c>
      <c r="B43" s="95" t="s">
        <v>160</v>
      </c>
      <c r="C43" s="95" t="s">
        <v>136</v>
      </c>
      <c r="D43" s="95" t="s">
        <v>1551</v>
      </c>
      <c r="E43" s="95" t="s">
        <v>1783</v>
      </c>
      <c r="F43" s="95" t="s">
        <v>1784</v>
      </c>
      <c r="G43" s="95" t="s">
        <v>1785</v>
      </c>
      <c r="H43" s="95" t="s">
        <v>1786</v>
      </c>
      <c r="I43" s="95" t="s">
        <v>1787</v>
      </c>
      <c r="J43" s="95" t="s">
        <v>1557</v>
      </c>
      <c r="K43" s="95" t="s">
        <v>1788</v>
      </c>
    </row>
    <row r="44" customFormat="false" ht="60" hidden="false" customHeight="true" outlineLevel="0" collapsed="false">
      <c r="A44" s="96" t="n">
        <v>41</v>
      </c>
      <c r="B44" s="96" t="s">
        <v>165</v>
      </c>
      <c r="C44" s="96" t="s">
        <v>166</v>
      </c>
      <c r="D44" s="96" t="s">
        <v>1551</v>
      </c>
      <c r="E44" s="96" t="s">
        <v>1689</v>
      </c>
      <c r="F44" s="96" t="s">
        <v>1789</v>
      </c>
      <c r="G44" s="96" t="s">
        <v>1790</v>
      </c>
      <c r="H44" s="96" t="s">
        <v>1759</v>
      </c>
      <c r="I44" s="96" t="s">
        <v>1760</v>
      </c>
      <c r="J44" s="96" t="s">
        <v>1557</v>
      </c>
      <c r="K44" s="96" t="s">
        <v>1791</v>
      </c>
    </row>
    <row r="45" customFormat="false" ht="60" hidden="false" customHeight="true" outlineLevel="0" collapsed="false">
      <c r="A45" s="96" t="n">
        <v>42</v>
      </c>
      <c r="B45" s="96" t="s">
        <v>168</v>
      </c>
      <c r="C45" s="96" t="s">
        <v>166</v>
      </c>
      <c r="D45" s="96" t="s">
        <v>1551</v>
      </c>
      <c r="E45" s="96" t="s">
        <v>1689</v>
      </c>
      <c r="F45" s="96" t="s">
        <v>1792</v>
      </c>
      <c r="G45" s="96" t="s">
        <v>1793</v>
      </c>
      <c r="H45" s="96" t="s">
        <v>1794</v>
      </c>
      <c r="I45" s="96" t="s">
        <v>1795</v>
      </c>
      <c r="J45" s="96" t="s">
        <v>1557</v>
      </c>
      <c r="K45" s="96" t="s">
        <v>1796</v>
      </c>
    </row>
    <row r="46" customFormat="false" ht="60" hidden="false" customHeight="true" outlineLevel="0" collapsed="false">
      <c r="A46" s="96" t="n">
        <v>43</v>
      </c>
      <c r="B46" s="96" t="s">
        <v>172</v>
      </c>
      <c r="C46" s="96" t="s">
        <v>166</v>
      </c>
      <c r="D46" s="96" t="s">
        <v>1551</v>
      </c>
      <c r="E46" s="96" t="s">
        <v>1689</v>
      </c>
      <c r="F46" s="96" t="s">
        <v>1797</v>
      </c>
      <c r="G46" s="96" t="s">
        <v>1798</v>
      </c>
      <c r="H46" s="96" t="s">
        <v>1799</v>
      </c>
      <c r="I46" s="96" t="s">
        <v>1781</v>
      </c>
      <c r="J46" s="96" t="s">
        <v>1732</v>
      </c>
      <c r="K46" s="96" t="s">
        <v>1800</v>
      </c>
    </row>
    <row r="47" customFormat="false" ht="60" hidden="false" customHeight="true" outlineLevel="0" collapsed="false">
      <c r="A47" s="96" t="n">
        <v>44</v>
      </c>
      <c r="B47" s="96" t="s">
        <v>174</v>
      </c>
      <c r="C47" s="96" t="s">
        <v>166</v>
      </c>
      <c r="D47" s="96" t="s">
        <v>1551</v>
      </c>
      <c r="E47" s="96" t="s">
        <v>1689</v>
      </c>
      <c r="F47" s="96" t="s">
        <v>1801</v>
      </c>
      <c r="G47" s="96" t="s">
        <v>1802</v>
      </c>
      <c r="H47" s="96" t="s">
        <v>1803</v>
      </c>
      <c r="I47" s="96" t="s">
        <v>1804</v>
      </c>
      <c r="J47" s="96" t="s">
        <v>1732</v>
      </c>
      <c r="K47" s="96" t="s">
        <v>1805</v>
      </c>
    </row>
    <row r="48" customFormat="false" ht="60" hidden="false" customHeight="true" outlineLevel="0" collapsed="false">
      <c r="A48" s="96" t="n">
        <v>45</v>
      </c>
      <c r="B48" s="96" t="s">
        <v>177</v>
      </c>
      <c r="C48" s="96" t="s">
        <v>166</v>
      </c>
      <c r="D48" s="96" t="s">
        <v>1551</v>
      </c>
      <c r="E48" s="96" t="s">
        <v>1689</v>
      </c>
      <c r="F48" s="96" t="s">
        <v>1789</v>
      </c>
      <c r="G48" s="96" t="s">
        <v>1790</v>
      </c>
      <c r="H48" s="96" t="s">
        <v>1806</v>
      </c>
      <c r="I48" s="96" t="s">
        <v>1787</v>
      </c>
      <c r="J48" s="96" t="s">
        <v>1557</v>
      </c>
      <c r="K48" s="96" t="s">
        <v>1807</v>
      </c>
    </row>
    <row r="49" customFormat="false" ht="60" hidden="false" customHeight="true" outlineLevel="0" collapsed="false">
      <c r="A49" s="96" t="n">
        <v>46</v>
      </c>
      <c r="B49" s="96" t="s">
        <v>180</v>
      </c>
      <c r="C49" s="96" t="s">
        <v>166</v>
      </c>
      <c r="D49" s="96" t="s">
        <v>1551</v>
      </c>
      <c r="E49" s="96" t="s">
        <v>1689</v>
      </c>
      <c r="F49" s="96" t="s">
        <v>1808</v>
      </c>
      <c r="G49" s="96" t="s">
        <v>1809</v>
      </c>
      <c r="H49" s="96" t="s">
        <v>1764</v>
      </c>
      <c r="I49" s="96" t="s">
        <v>1760</v>
      </c>
      <c r="J49" s="96" t="s">
        <v>1557</v>
      </c>
      <c r="K49" s="96" t="s">
        <v>1810</v>
      </c>
    </row>
    <row r="50" customFormat="false" ht="60" hidden="false" customHeight="true" outlineLevel="0" collapsed="false">
      <c r="A50" s="96" t="n">
        <v>47</v>
      </c>
      <c r="B50" s="96" t="s">
        <v>183</v>
      </c>
      <c r="C50" s="96" t="s">
        <v>166</v>
      </c>
      <c r="D50" s="96" t="s">
        <v>1551</v>
      </c>
      <c r="E50" s="96" t="s">
        <v>1689</v>
      </c>
      <c r="F50" s="96" t="s">
        <v>1811</v>
      </c>
      <c r="G50" s="96" t="s">
        <v>1812</v>
      </c>
      <c r="H50" s="96" t="s">
        <v>1764</v>
      </c>
      <c r="I50" s="96" t="s">
        <v>1760</v>
      </c>
      <c r="J50" s="96" t="s">
        <v>1557</v>
      </c>
      <c r="K50" s="96" t="s">
        <v>1813</v>
      </c>
    </row>
    <row r="51" customFormat="false" ht="60" hidden="false" customHeight="true" outlineLevel="0" collapsed="false">
      <c r="A51" s="96" t="n">
        <v>48</v>
      </c>
      <c r="B51" s="96" t="s">
        <v>187</v>
      </c>
      <c r="C51" s="96" t="s">
        <v>166</v>
      </c>
      <c r="D51" s="96" t="s">
        <v>1551</v>
      </c>
      <c r="E51" s="96" t="s">
        <v>1689</v>
      </c>
      <c r="F51" s="96" t="s">
        <v>1814</v>
      </c>
      <c r="G51" s="96" t="s">
        <v>1790</v>
      </c>
      <c r="H51" s="96" t="s">
        <v>1759</v>
      </c>
      <c r="I51" s="96" t="s">
        <v>1815</v>
      </c>
      <c r="J51" s="96" t="s">
        <v>1557</v>
      </c>
      <c r="K51" s="96" t="s">
        <v>1816</v>
      </c>
    </row>
    <row r="52" customFormat="false" ht="60" hidden="false" customHeight="true" outlineLevel="0" collapsed="false">
      <c r="A52" s="96" t="n">
        <v>49</v>
      </c>
      <c r="B52" s="96" t="s">
        <v>189</v>
      </c>
      <c r="C52" s="96" t="s">
        <v>166</v>
      </c>
      <c r="D52" s="96" t="s">
        <v>1551</v>
      </c>
      <c r="E52" s="96" t="s">
        <v>1689</v>
      </c>
      <c r="F52" s="96" t="s">
        <v>1817</v>
      </c>
      <c r="G52" s="96" t="s">
        <v>1575</v>
      </c>
      <c r="H52" s="96" t="s">
        <v>1764</v>
      </c>
      <c r="I52" s="96" t="s">
        <v>1760</v>
      </c>
      <c r="J52" s="96" t="s">
        <v>1557</v>
      </c>
      <c r="K52" s="96" t="s">
        <v>1818</v>
      </c>
    </row>
    <row r="53" customFormat="false" ht="60" hidden="false" customHeight="true" outlineLevel="0" collapsed="false">
      <c r="A53" s="96" t="n">
        <v>50</v>
      </c>
      <c r="B53" s="96" t="s">
        <v>192</v>
      </c>
      <c r="C53" s="96" t="s">
        <v>166</v>
      </c>
      <c r="D53" s="96" t="s">
        <v>1551</v>
      </c>
      <c r="E53" s="96" t="s">
        <v>1689</v>
      </c>
      <c r="F53" s="96" t="s">
        <v>1819</v>
      </c>
      <c r="G53" s="96" t="s">
        <v>1820</v>
      </c>
      <c r="H53" s="96" t="s">
        <v>1794</v>
      </c>
      <c r="I53" s="96" t="s">
        <v>1745</v>
      </c>
      <c r="J53" s="96" t="s">
        <v>1597</v>
      </c>
      <c r="K53" s="96" t="s">
        <v>1821</v>
      </c>
    </row>
    <row r="54" customFormat="false" ht="60" hidden="false" customHeight="true" outlineLevel="0" collapsed="false">
      <c r="A54" s="96" t="n">
        <v>51</v>
      </c>
      <c r="B54" s="96" t="s">
        <v>194</v>
      </c>
      <c r="C54" s="96" t="s">
        <v>195</v>
      </c>
      <c r="D54" s="96" t="s">
        <v>1551</v>
      </c>
      <c r="E54" s="96" t="s">
        <v>1689</v>
      </c>
      <c r="F54" s="96" t="s">
        <v>1822</v>
      </c>
      <c r="G54" s="96" t="s">
        <v>1823</v>
      </c>
      <c r="H54" s="96" t="s">
        <v>1794</v>
      </c>
      <c r="I54" s="96" t="s">
        <v>1815</v>
      </c>
      <c r="J54" s="96" t="s">
        <v>1557</v>
      </c>
      <c r="K54" s="96" t="s">
        <v>1824</v>
      </c>
    </row>
    <row r="55" customFormat="false" ht="60" hidden="false" customHeight="true" outlineLevel="0" collapsed="false">
      <c r="A55" s="96" t="n">
        <v>52</v>
      </c>
      <c r="B55" s="96" t="s">
        <v>198</v>
      </c>
      <c r="C55" s="96" t="s">
        <v>195</v>
      </c>
      <c r="D55" s="96" t="s">
        <v>1551</v>
      </c>
      <c r="E55" s="96" t="s">
        <v>1689</v>
      </c>
      <c r="F55" s="96" t="s">
        <v>1581</v>
      </c>
      <c r="G55" s="96" t="s">
        <v>1825</v>
      </c>
      <c r="H55" s="96" t="s">
        <v>1744</v>
      </c>
      <c r="I55" s="96" t="s">
        <v>1826</v>
      </c>
      <c r="J55" s="96" t="s">
        <v>1732</v>
      </c>
      <c r="K55" s="96" t="s">
        <v>1827</v>
      </c>
    </row>
    <row r="56" customFormat="false" ht="60" hidden="false" customHeight="true" outlineLevel="0" collapsed="false">
      <c r="A56" s="96" t="n">
        <v>53</v>
      </c>
      <c r="B56" s="96" t="s">
        <v>200</v>
      </c>
      <c r="C56" s="96" t="s">
        <v>195</v>
      </c>
      <c r="D56" s="96" t="s">
        <v>1551</v>
      </c>
      <c r="E56" s="96" t="s">
        <v>1689</v>
      </c>
      <c r="F56" s="96" t="s">
        <v>1828</v>
      </c>
      <c r="G56" s="96" t="s">
        <v>1829</v>
      </c>
      <c r="H56" s="96" t="s">
        <v>1751</v>
      </c>
      <c r="I56" s="96" t="s">
        <v>1830</v>
      </c>
      <c r="J56" s="96" t="s">
        <v>1732</v>
      </c>
      <c r="K56" s="96" t="s">
        <v>1831</v>
      </c>
    </row>
    <row r="57" customFormat="false" ht="60" hidden="false" customHeight="true" outlineLevel="0" collapsed="false">
      <c r="A57" s="96" t="n">
        <v>54</v>
      </c>
      <c r="B57" s="96" t="s">
        <v>202</v>
      </c>
      <c r="C57" s="96" t="s">
        <v>195</v>
      </c>
      <c r="D57" s="96" t="s">
        <v>1551</v>
      </c>
      <c r="E57" s="96" t="s">
        <v>1783</v>
      </c>
      <c r="F57" s="96" t="s">
        <v>1574</v>
      </c>
      <c r="G57" s="96" t="s">
        <v>1832</v>
      </c>
      <c r="H57" s="96" t="s">
        <v>1833</v>
      </c>
      <c r="I57" s="96" t="s">
        <v>1834</v>
      </c>
      <c r="J57" s="96" t="s">
        <v>1557</v>
      </c>
      <c r="K57" s="96" t="s">
        <v>1835</v>
      </c>
    </row>
    <row r="58" customFormat="false" ht="60" hidden="false" customHeight="true" outlineLevel="0" collapsed="false">
      <c r="A58" s="96" t="n">
        <v>55</v>
      </c>
      <c r="B58" s="96" t="s">
        <v>205</v>
      </c>
      <c r="C58" s="96" t="s">
        <v>195</v>
      </c>
      <c r="D58" s="96" t="s">
        <v>1551</v>
      </c>
      <c r="E58" s="96" t="s">
        <v>1689</v>
      </c>
      <c r="F58" s="96" t="s">
        <v>1836</v>
      </c>
      <c r="G58" s="96" t="s">
        <v>1837</v>
      </c>
      <c r="H58" s="96" t="s">
        <v>1799</v>
      </c>
      <c r="I58" s="96" t="s">
        <v>1781</v>
      </c>
      <c r="J58" s="96" t="s">
        <v>1732</v>
      </c>
      <c r="K58" s="96" t="s">
        <v>1838</v>
      </c>
    </row>
    <row r="59" customFormat="false" ht="60" hidden="false" customHeight="true" outlineLevel="0" collapsed="false">
      <c r="A59" s="96" t="n">
        <v>56</v>
      </c>
      <c r="B59" s="96" t="s">
        <v>206</v>
      </c>
      <c r="C59" s="96" t="s">
        <v>195</v>
      </c>
      <c r="D59" s="96" t="s">
        <v>1551</v>
      </c>
      <c r="E59" s="96" t="s">
        <v>1689</v>
      </c>
      <c r="F59" s="96" t="s">
        <v>1839</v>
      </c>
      <c r="G59" s="96" t="s">
        <v>1840</v>
      </c>
      <c r="H59" s="96" t="s">
        <v>1841</v>
      </c>
      <c r="I59" s="96" t="s">
        <v>1826</v>
      </c>
      <c r="J59" s="96" t="s">
        <v>1732</v>
      </c>
      <c r="K59" s="96" t="s">
        <v>1842</v>
      </c>
    </row>
    <row r="60" customFormat="false" ht="60" hidden="false" customHeight="true" outlineLevel="0" collapsed="false">
      <c r="A60" s="96" t="n">
        <v>57</v>
      </c>
      <c r="B60" s="96" t="s">
        <v>209</v>
      </c>
      <c r="C60" s="96" t="s">
        <v>195</v>
      </c>
      <c r="D60" s="96" t="s">
        <v>1551</v>
      </c>
      <c r="E60" s="96" t="s">
        <v>1689</v>
      </c>
      <c r="F60" s="96" t="s">
        <v>1843</v>
      </c>
      <c r="G60" s="96" t="s">
        <v>1844</v>
      </c>
      <c r="H60" s="96" t="s">
        <v>1759</v>
      </c>
      <c r="I60" s="96" t="s">
        <v>1745</v>
      </c>
      <c r="J60" s="96" t="s">
        <v>1597</v>
      </c>
      <c r="K60" s="96" t="s">
        <v>1845</v>
      </c>
    </row>
    <row r="61" customFormat="false" ht="60" hidden="false" customHeight="true" outlineLevel="0" collapsed="false">
      <c r="A61" s="96" t="n">
        <v>58</v>
      </c>
      <c r="B61" s="96" t="s">
        <v>210</v>
      </c>
      <c r="C61" s="96" t="s">
        <v>195</v>
      </c>
      <c r="D61" s="96" t="s">
        <v>1551</v>
      </c>
      <c r="E61" s="96" t="s">
        <v>1689</v>
      </c>
      <c r="F61" s="96" t="s">
        <v>1846</v>
      </c>
      <c r="G61" s="96" t="s">
        <v>1802</v>
      </c>
      <c r="H61" s="96" t="s">
        <v>1799</v>
      </c>
      <c r="I61" s="96" t="s">
        <v>1781</v>
      </c>
      <c r="J61" s="96" t="s">
        <v>1732</v>
      </c>
      <c r="K61" s="96" t="s">
        <v>1847</v>
      </c>
    </row>
    <row r="62" customFormat="false" ht="60" hidden="false" customHeight="true" outlineLevel="0" collapsed="false">
      <c r="A62" s="96" t="n">
        <v>59</v>
      </c>
      <c r="B62" s="96" t="s">
        <v>212</v>
      </c>
      <c r="C62" s="96" t="s">
        <v>195</v>
      </c>
      <c r="D62" s="96" t="s">
        <v>1551</v>
      </c>
      <c r="E62" s="96" t="s">
        <v>1717</v>
      </c>
      <c r="F62" s="96" t="s">
        <v>1848</v>
      </c>
      <c r="G62" s="96" t="s">
        <v>1849</v>
      </c>
      <c r="H62" s="96" t="s">
        <v>1776</v>
      </c>
      <c r="I62" s="96" t="s">
        <v>1769</v>
      </c>
      <c r="J62" s="96" t="s">
        <v>1732</v>
      </c>
      <c r="K62" s="96" t="s">
        <v>1850</v>
      </c>
    </row>
    <row r="63" customFormat="false" ht="60" hidden="false" customHeight="true" outlineLevel="0" collapsed="false">
      <c r="A63" s="96" t="n">
        <v>60</v>
      </c>
      <c r="B63" s="96" t="s">
        <v>214</v>
      </c>
      <c r="C63" s="96" t="s">
        <v>195</v>
      </c>
      <c r="D63" s="96" t="s">
        <v>1551</v>
      </c>
      <c r="E63" s="96" t="s">
        <v>1689</v>
      </c>
      <c r="F63" s="96" t="s">
        <v>1851</v>
      </c>
      <c r="G63" s="96" t="s">
        <v>1852</v>
      </c>
      <c r="H63" s="96" t="s">
        <v>1799</v>
      </c>
      <c r="I63" s="96" t="s">
        <v>1826</v>
      </c>
      <c r="J63" s="96" t="s">
        <v>1732</v>
      </c>
      <c r="K63" s="96" t="s">
        <v>1853</v>
      </c>
    </row>
    <row r="64" customFormat="false" ht="20.85" hidden="false" customHeight="false" outlineLevel="0" collapsed="false">
      <c r="A64" s="98" t="n">
        <v>61</v>
      </c>
      <c r="B64" s="98" t="s">
        <v>216</v>
      </c>
      <c r="C64" s="98" t="s">
        <v>217</v>
      </c>
      <c r="D64" s="98" t="s">
        <v>1551</v>
      </c>
      <c r="E64" s="98" t="s">
        <v>1689</v>
      </c>
      <c r="F64" s="98" t="s">
        <v>1753</v>
      </c>
      <c r="G64" s="98" t="s">
        <v>1854</v>
      </c>
      <c r="H64" s="98" t="s">
        <v>1780</v>
      </c>
      <c r="I64" s="98" t="s">
        <v>1795</v>
      </c>
      <c r="J64" s="98" t="s">
        <v>1557</v>
      </c>
      <c r="K64" s="98" t="s">
        <v>1855</v>
      </c>
    </row>
    <row r="65" customFormat="false" ht="20.85" hidden="false" customHeight="false" outlineLevel="0" collapsed="false">
      <c r="A65" s="98" t="n">
        <v>62</v>
      </c>
      <c r="B65" s="98" t="s">
        <v>218</v>
      </c>
      <c r="C65" s="98" t="s">
        <v>217</v>
      </c>
      <c r="D65" s="98" t="s">
        <v>1551</v>
      </c>
      <c r="E65" s="98" t="s">
        <v>1689</v>
      </c>
      <c r="F65" s="98" t="s">
        <v>1856</v>
      </c>
      <c r="G65" s="98" t="s">
        <v>1809</v>
      </c>
      <c r="H65" s="98" t="s">
        <v>1759</v>
      </c>
      <c r="I65" s="98" t="s">
        <v>1815</v>
      </c>
      <c r="J65" s="98" t="s">
        <v>1557</v>
      </c>
      <c r="K65" s="98" t="s">
        <v>1857</v>
      </c>
    </row>
    <row r="66" customFormat="false" ht="20.85" hidden="false" customHeight="false" outlineLevel="0" collapsed="false">
      <c r="A66" s="98" t="n">
        <v>63</v>
      </c>
      <c r="B66" s="98" t="s">
        <v>219</v>
      </c>
      <c r="C66" s="98" t="s">
        <v>217</v>
      </c>
      <c r="D66" s="98" t="s">
        <v>1551</v>
      </c>
      <c r="E66" s="98" t="s">
        <v>1689</v>
      </c>
      <c r="F66" s="98" t="s">
        <v>1858</v>
      </c>
      <c r="G66" s="98" t="s">
        <v>1859</v>
      </c>
      <c r="H66" s="98" t="s">
        <v>1799</v>
      </c>
      <c r="I66" s="98" t="s">
        <v>1804</v>
      </c>
      <c r="J66" s="98" t="s">
        <v>1732</v>
      </c>
      <c r="K66" s="98" t="s">
        <v>1860</v>
      </c>
    </row>
    <row r="67" customFormat="false" ht="20.85" hidden="false" customHeight="false" outlineLevel="0" collapsed="false">
      <c r="A67" s="98" t="n">
        <v>64</v>
      </c>
      <c r="B67" s="98" t="s">
        <v>221</v>
      </c>
      <c r="C67" s="98" t="s">
        <v>217</v>
      </c>
      <c r="D67" s="98" t="s">
        <v>1551</v>
      </c>
      <c r="E67" s="98" t="s">
        <v>1689</v>
      </c>
      <c r="F67" s="98" t="s">
        <v>1861</v>
      </c>
      <c r="G67" s="98" t="s">
        <v>1862</v>
      </c>
      <c r="H67" s="98" t="s">
        <v>1863</v>
      </c>
      <c r="I67" s="98" t="s">
        <v>1787</v>
      </c>
      <c r="J67" s="98" t="s">
        <v>1557</v>
      </c>
      <c r="K67" s="98" t="s">
        <v>1864</v>
      </c>
    </row>
    <row r="68" customFormat="false" ht="20.85" hidden="false" customHeight="false" outlineLevel="0" collapsed="false">
      <c r="A68" s="98" t="n">
        <v>65</v>
      </c>
      <c r="B68" s="98" t="s">
        <v>225</v>
      </c>
      <c r="C68" s="98" t="s">
        <v>217</v>
      </c>
      <c r="D68" s="98" t="s">
        <v>1551</v>
      </c>
      <c r="E68" s="98" t="s">
        <v>1689</v>
      </c>
      <c r="F68" s="98" t="s">
        <v>1865</v>
      </c>
      <c r="G68" s="98" t="s">
        <v>1866</v>
      </c>
      <c r="H68" s="98" t="s">
        <v>1803</v>
      </c>
      <c r="I68" s="98" t="s">
        <v>1804</v>
      </c>
      <c r="J68" s="98" t="s">
        <v>1732</v>
      </c>
      <c r="K68" s="98" t="s">
        <v>1867</v>
      </c>
    </row>
    <row r="69" customFormat="false" ht="20.85" hidden="false" customHeight="false" outlineLevel="0" collapsed="false">
      <c r="A69" s="98" t="n">
        <v>66</v>
      </c>
      <c r="B69" s="98" t="s">
        <v>227</v>
      </c>
      <c r="C69" s="98" t="s">
        <v>217</v>
      </c>
      <c r="D69" s="98" t="s">
        <v>1551</v>
      </c>
      <c r="E69" s="98" t="s">
        <v>1868</v>
      </c>
      <c r="F69" s="98" t="s">
        <v>1574</v>
      </c>
      <c r="G69" s="98" t="s">
        <v>1869</v>
      </c>
      <c r="H69" s="98" t="s">
        <v>1764</v>
      </c>
      <c r="I69" s="98" t="s">
        <v>1760</v>
      </c>
      <c r="J69" s="98" t="s">
        <v>1557</v>
      </c>
      <c r="K69" s="98" t="s">
        <v>1870</v>
      </c>
    </row>
    <row r="70" customFormat="false" ht="20.85" hidden="false" customHeight="false" outlineLevel="0" collapsed="false">
      <c r="A70" s="98" t="n">
        <v>67</v>
      </c>
      <c r="B70" s="98" t="s">
        <v>229</v>
      </c>
      <c r="C70" s="98" t="s">
        <v>217</v>
      </c>
      <c r="D70" s="98" t="s">
        <v>1551</v>
      </c>
      <c r="E70" s="98" t="s">
        <v>1717</v>
      </c>
      <c r="F70" s="98" t="s">
        <v>1871</v>
      </c>
      <c r="G70" s="98" t="s">
        <v>1872</v>
      </c>
      <c r="H70" s="98" t="s">
        <v>1780</v>
      </c>
      <c r="I70" s="98" t="s">
        <v>1781</v>
      </c>
      <c r="J70" s="98" t="s">
        <v>1732</v>
      </c>
      <c r="K70" s="98" t="s">
        <v>1873</v>
      </c>
    </row>
    <row r="71" customFormat="false" ht="20.85" hidden="false" customHeight="false" outlineLevel="0" collapsed="false">
      <c r="A71" s="98" t="n">
        <v>68</v>
      </c>
      <c r="B71" s="98" t="s">
        <v>231</v>
      </c>
      <c r="C71" s="98" t="s">
        <v>217</v>
      </c>
      <c r="D71" s="98" t="s">
        <v>1551</v>
      </c>
      <c r="E71" s="98" t="s">
        <v>1689</v>
      </c>
      <c r="F71" s="98" t="s">
        <v>1874</v>
      </c>
      <c r="G71" s="98" t="s">
        <v>1875</v>
      </c>
      <c r="H71" s="98" t="s">
        <v>1759</v>
      </c>
      <c r="I71" s="98" t="s">
        <v>1745</v>
      </c>
      <c r="J71" s="98" t="s">
        <v>1597</v>
      </c>
      <c r="K71" s="98" t="s">
        <v>1876</v>
      </c>
    </row>
    <row r="72" customFormat="false" ht="20.85" hidden="false" customHeight="false" outlineLevel="0" collapsed="false">
      <c r="A72" s="98" t="n">
        <v>69</v>
      </c>
      <c r="B72" s="98" t="s">
        <v>233</v>
      </c>
      <c r="C72" s="98" t="s">
        <v>217</v>
      </c>
      <c r="D72" s="98" t="s">
        <v>1551</v>
      </c>
      <c r="E72" s="98" t="s">
        <v>1689</v>
      </c>
      <c r="F72" s="98" t="s">
        <v>1877</v>
      </c>
      <c r="G72" s="98" t="s">
        <v>1878</v>
      </c>
      <c r="H72" s="98" t="s">
        <v>1799</v>
      </c>
      <c r="I72" s="98" t="s">
        <v>1826</v>
      </c>
      <c r="J72" s="98" t="s">
        <v>1732</v>
      </c>
      <c r="K72" s="98" t="s">
        <v>1879</v>
      </c>
    </row>
    <row r="73" customFormat="false" ht="20.85" hidden="false" customHeight="false" outlineLevel="0" collapsed="false">
      <c r="A73" s="98" t="n">
        <v>70</v>
      </c>
      <c r="B73" s="98" t="s">
        <v>236</v>
      </c>
      <c r="C73" s="98" t="s">
        <v>217</v>
      </c>
      <c r="D73" s="98" t="s">
        <v>1551</v>
      </c>
      <c r="E73" s="98" t="s">
        <v>1689</v>
      </c>
      <c r="F73" s="98" t="s">
        <v>1880</v>
      </c>
      <c r="G73" s="98" t="s">
        <v>1575</v>
      </c>
      <c r="H73" s="98" t="s">
        <v>1764</v>
      </c>
      <c r="I73" s="98" t="s">
        <v>1760</v>
      </c>
      <c r="J73" s="98" t="s">
        <v>1557</v>
      </c>
      <c r="K73" s="98" t="s">
        <v>1881</v>
      </c>
    </row>
    <row r="74" customFormat="false" ht="20.85" hidden="false" customHeight="false" outlineLevel="0" collapsed="false">
      <c r="A74" s="97" t="n">
        <v>71</v>
      </c>
      <c r="B74" s="97" t="s">
        <v>238</v>
      </c>
      <c r="C74" s="97" t="s">
        <v>239</v>
      </c>
      <c r="D74" s="97" t="s">
        <v>1551</v>
      </c>
      <c r="E74" s="97" t="s">
        <v>1689</v>
      </c>
      <c r="F74" s="97" t="s">
        <v>1882</v>
      </c>
      <c r="G74" s="97" t="s">
        <v>1790</v>
      </c>
      <c r="H74" s="97" t="s">
        <v>1764</v>
      </c>
      <c r="I74" s="97" t="s">
        <v>1760</v>
      </c>
      <c r="J74" s="97" t="s">
        <v>1557</v>
      </c>
      <c r="K74" s="97" t="s">
        <v>1883</v>
      </c>
    </row>
    <row r="75" customFormat="false" ht="20.85" hidden="false" customHeight="false" outlineLevel="0" collapsed="false">
      <c r="A75" s="97" t="n">
        <v>72</v>
      </c>
      <c r="B75" s="97" t="s">
        <v>240</v>
      </c>
      <c r="C75" s="97" t="s">
        <v>239</v>
      </c>
      <c r="D75" s="97" t="s">
        <v>1551</v>
      </c>
      <c r="E75" s="97" t="s">
        <v>1689</v>
      </c>
      <c r="F75" s="97" t="s">
        <v>1884</v>
      </c>
      <c r="G75" s="97" t="s">
        <v>1885</v>
      </c>
      <c r="H75" s="97" t="s">
        <v>1780</v>
      </c>
      <c r="I75" s="97" t="s">
        <v>1795</v>
      </c>
      <c r="J75" s="97" t="s">
        <v>1557</v>
      </c>
      <c r="K75" s="97" t="s">
        <v>1886</v>
      </c>
    </row>
    <row r="76" customFormat="false" ht="20.85" hidden="false" customHeight="false" outlineLevel="0" collapsed="false">
      <c r="A76" s="97" t="n">
        <v>73</v>
      </c>
      <c r="B76" s="97" t="s">
        <v>242</v>
      </c>
      <c r="C76" s="97" t="s">
        <v>239</v>
      </c>
      <c r="D76" s="97" t="s">
        <v>1551</v>
      </c>
      <c r="E76" s="97" t="s">
        <v>1689</v>
      </c>
      <c r="F76" s="97" t="s">
        <v>1887</v>
      </c>
      <c r="G76" s="97" t="s">
        <v>1888</v>
      </c>
      <c r="H76" s="97" t="s">
        <v>1759</v>
      </c>
      <c r="I76" s="97" t="s">
        <v>1745</v>
      </c>
      <c r="J76" s="97" t="s">
        <v>1597</v>
      </c>
      <c r="K76" s="97" t="s">
        <v>1889</v>
      </c>
    </row>
    <row r="77" customFormat="false" ht="20.85" hidden="false" customHeight="false" outlineLevel="0" collapsed="false">
      <c r="A77" s="97" t="n">
        <v>74</v>
      </c>
      <c r="B77" s="97" t="s">
        <v>244</v>
      </c>
      <c r="C77" s="97" t="s">
        <v>239</v>
      </c>
      <c r="D77" s="97" t="s">
        <v>1551</v>
      </c>
      <c r="E77" s="97" t="s">
        <v>1689</v>
      </c>
      <c r="F77" s="97" t="s">
        <v>1890</v>
      </c>
      <c r="G77" s="97" t="s">
        <v>1575</v>
      </c>
      <c r="H77" s="97" t="s">
        <v>1764</v>
      </c>
      <c r="I77" s="97" t="s">
        <v>1760</v>
      </c>
      <c r="J77" s="97" t="s">
        <v>1557</v>
      </c>
      <c r="K77" s="97" t="s">
        <v>1891</v>
      </c>
    </row>
    <row r="78" customFormat="false" ht="20.85" hidden="false" customHeight="false" outlineLevel="0" collapsed="false">
      <c r="A78" s="97" t="n">
        <v>75</v>
      </c>
      <c r="B78" s="97" t="s">
        <v>247</v>
      </c>
      <c r="C78" s="97" t="s">
        <v>239</v>
      </c>
      <c r="D78" s="97" t="s">
        <v>1551</v>
      </c>
      <c r="E78" s="97" t="s">
        <v>1689</v>
      </c>
      <c r="F78" s="97" t="s">
        <v>1892</v>
      </c>
      <c r="G78" s="97" t="s">
        <v>1575</v>
      </c>
      <c r="H78" s="97" t="s">
        <v>1794</v>
      </c>
      <c r="I78" s="97" t="s">
        <v>1795</v>
      </c>
      <c r="J78" s="97" t="s">
        <v>1557</v>
      </c>
      <c r="K78" s="97" t="s">
        <v>1893</v>
      </c>
    </row>
    <row r="79" customFormat="false" ht="20.85" hidden="false" customHeight="false" outlineLevel="0" collapsed="false">
      <c r="A79" s="97" t="n">
        <v>76</v>
      </c>
      <c r="B79" s="97" t="s">
        <v>249</v>
      </c>
      <c r="C79" s="97" t="s">
        <v>239</v>
      </c>
      <c r="D79" s="97" t="s">
        <v>1551</v>
      </c>
      <c r="E79" s="97" t="s">
        <v>1689</v>
      </c>
      <c r="F79" s="97" t="s">
        <v>1894</v>
      </c>
      <c r="G79" s="97" t="s">
        <v>1895</v>
      </c>
      <c r="H79" s="97" t="s">
        <v>1764</v>
      </c>
      <c r="I79" s="97" t="s">
        <v>1760</v>
      </c>
      <c r="J79" s="97" t="s">
        <v>1557</v>
      </c>
      <c r="K79" s="97" t="s">
        <v>1896</v>
      </c>
    </row>
    <row r="80" customFormat="false" ht="20.85" hidden="false" customHeight="false" outlineLevel="0" collapsed="false">
      <c r="A80" s="97" t="n">
        <v>77</v>
      </c>
      <c r="B80" s="97" t="s">
        <v>251</v>
      </c>
      <c r="C80" s="97" t="s">
        <v>239</v>
      </c>
      <c r="D80" s="97" t="s">
        <v>1551</v>
      </c>
      <c r="E80" s="97" t="s">
        <v>1689</v>
      </c>
      <c r="F80" s="97" t="s">
        <v>1897</v>
      </c>
      <c r="G80" s="97" t="s">
        <v>1575</v>
      </c>
      <c r="H80" s="97" t="s">
        <v>1764</v>
      </c>
      <c r="I80" s="97" t="s">
        <v>1795</v>
      </c>
      <c r="J80" s="97" t="s">
        <v>1557</v>
      </c>
      <c r="K80" s="97" t="s">
        <v>1898</v>
      </c>
    </row>
    <row r="81" customFormat="false" ht="20.85" hidden="false" customHeight="false" outlineLevel="0" collapsed="false">
      <c r="A81" s="97" t="n">
        <v>78</v>
      </c>
      <c r="B81" s="97" t="s">
        <v>254</v>
      </c>
      <c r="C81" s="97" t="s">
        <v>239</v>
      </c>
      <c r="D81" s="97" t="s">
        <v>1551</v>
      </c>
      <c r="E81" s="97" t="s">
        <v>1689</v>
      </c>
      <c r="F81" s="97" t="s">
        <v>1899</v>
      </c>
      <c r="G81" s="97" t="s">
        <v>1900</v>
      </c>
      <c r="H81" s="97" t="s">
        <v>1780</v>
      </c>
      <c r="I81" s="97" t="s">
        <v>1901</v>
      </c>
      <c r="J81" s="97" t="s">
        <v>1732</v>
      </c>
      <c r="K81" s="97" t="s">
        <v>1902</v>
      </c>
    </row>
    <row r="82" customFormat="false" ht="20.85" hidden="false" customHeight="false" outlineLevel="0" collapsed="false">
      <c r="A82" s="97" t="n">
        <v>79</v>
      </c>
      <c r="B82" s="97" t="s">
        <v>256</v>
      </c>
      <c r="C82" s="97" t="s">
        <v>239</v>
      </c>
      <c r="D82" s="97" t="s">
        <v>1551</v>
      </c>
      <c r="E82" s="97" t="s">
        <v>1689</v>
      </c>
      <c r="F82" s="97" t="s">
        <v>1903</v>
      </c>
      <c r="G82" s="97" t="s">
        <v>1575</v>
      </c>
      <c r="H82" s="97" t="s">
        <v>1764</v>
      </c>
      <c r="I82" s="97" t="s">
        <v>1760</v>
      </c>
      <c r="J82" s="97" t="s">
        <v>1557</v>
      </c>
      <c r="K82" s="97" t="s">
        <v>1904</v>
      </c>
    </row>
    <row r="83" customFormat="false" ht="20.85" hidden="false" customHeight="false" outlineLevel="0" collapsed="false">
      <c r="A83" s="97" t="n">
        <v>80</v>
      </c>
      <c r="B83" s="97" t="s">
        <v>258</v>
      </c>
      <c r="C83" s="97" t="s">
        <v>239</v>
      </c>
      <c r="D83" s="97" t="s">
        <v>1551</v>
      </c>
      <c r="E83" s="97" t="s">
        <v>1689</v>
      </c>
      <c r="F83" s="97" t="s">
        <v>1905</v>
      </c>
      <c r="G83" s="97" t="s">
        <v>1906</v>
      </c>
      <c r="H83" s="97" t="s">
        <v>1799</v>
      </c>
      <c r="I83" s="97" t="s">
        <v>1826</v>
      </c>
      <c r="J83" s="97" t="s">
        <v>1732</v>
      </c>
      <c r="K83" s="97" t="s">
        <v>1907</v>
      </c>
    </row>
    <row r="84" customFormat="false" ht="20.85" hidden="false" customHeight="false" outlineLevel="0" collapsed="false">
      <c r="A84" s="99" t="n">
        <v>81</v>
      </c>
      <c r="B84" s="99" t="s">
        <v>261</v>
      </c>
      <c r="C84" s="99" t="s">
        <v>262</v>
      </c>
      <c r="D84" s="99" t="s">
        <v>1551</v>
      </c>
      <c r="E84" s="99" t="s">
        <v>1689</v>
      </c>
      <c r="F84" s="99" t="s">
        <v>1908</v>
      </c>
      <c r="G84" s="99" t="s">
        <v>1909</v>
      </c>
      <c r="H84" s="99" t="s">
        <v>1764</v>
      </c>
      <c r="I84" s="99" t="s">
        <v>1760</v>
      </c>
      <c r="J84" s="99" t="s">
        <v>1557</v>
      </c>
      <c r="K84" s="99" t="s">
        <v>1910</v>
      </c>
    </row>
    <row r="85" customFormat="false" ht="20.85" hidden="false" customHeight="false" outlineLevel="0" collapsed="false">
      <c r="A85" s="99" t="n">
        <v>82</v>
      </c>
      <c r="B85" s="99" t="s">
        <v>263</v>
      </c>
      <c r="C85" s="99" t="s">
        <v>262</v>
      </c>
      <c r="D85" s="99" t="s">
        <v>1551</v>
      </c>
      <c r="E85" s="99" t="s">
        <v>1689</v>
      </c>
      <c r="F85" s="99" t="s">
        <v>1911</v>
      </c>
      <c r="G85" s="99" t="s">
        <v>1575</v>
      </c>
      <c r="H85" s="99" t="s">
        <v>1764</v>
      </c>
      <c r="I85" s="99" t="s">
        <v>1760</v>
      </c>
      <c r="J85" s="99" t="s">
        <v>1557</v>
      </c>
      <c r="K85" s="99" t="s">
        <v>1912</v>
      </c>
    </row>
    <row r="86" customFormat="false" ht="20.85" hidden="false" customHeight="false" outlineLevel="0" collapsed="false">
      <c r="A86" s="99" t="n">
        <v>83</v>
      </c>
      <c r="B86" s="99" t="s">
        <v>266</v>
      </c>
      <c r="C86" s="99" t="s">
        <v>262</v>
      </c>
      <c r="D86" s="99" t="s">
        <v>1551</v>
      </c>
      <c r="E86" s="99" t="s">
        <v>1689</v>
      </c>
      <c r="F86" s="99" t="s">
        <v>1913</v>
      </c>
      <c r="G86" s="99" t="s">
        <v>1914</v>
      </c>
      <c r="H86" s="99" t="s">
        <v>1780</v>
      </c>
      <c r="I86" s="99" t="s">
        <v>1745</v>
      </c>
      <c r="J86" s="99" t="s">
        <v>1732</v>
      </c>
      <c r="K86" s="99" t="s">
        <v>1915</v>
      </c>
    </row>
    <row r="87" customFormat="false" ht="20.85" hidden="false" customHeight="false" outlineLevel="0" collapsed="false">
      <c r="A87" s="99" t="n">
        <v>84</v>
      </c>
      <c r="B87" s="99" t="s">
        <v>270</v>
      </c>
      <c r="C87" s="99" t="s">
        <v>262</v>
      </c>
      <c r="D87" s="99" t="s">
        <v>1551</v>
      </c>
      <c r="E87" s="99" t="s">
        <v>1689</v>
      </c>
      <c r="F87" s="99" t="s">
        <v>1916</v>
      </c>
      <c r="G87" s="99" t="s">
        <v>1575</v>
      </c>
      <c r="H87" s="99" t="s">
        <v>1764</v>
      </c>
      <c r="I87" s="99" t="s">
        <v>1760</v>
      </c>
      <c r="J87" s="99" t="s">
        <v>1557</v>
      </c>
      <c r="K87" s="99" t="s">
        <v>1917</v>
      </c>
    </row>
    <row r="88" customFormat="false" ht="20.85" hidden="false" customHeight="false" outlineLevel="0" collapsed="false">
      <c r="A88" s="99" t="n">
        <v>85</v>
      </c>
      <c r="B88" s="99" t="s">
        <v>271</v>
      </c>
      <c r="C88" s="99" t="s">
        <v>262</v>
      </c>
      <c r="D88" s="99" t="s">
        <v>1551</v>
      </c>
      <c r="E88" s="99" t="s">
        <v>1689</v>
      </c>
      <c r="F88" s="99" t="s">
        <v>1918</v>
      </c>
      <c r="G88" s="99" t="s">
        <v>1919</v>
      </c>
      <c r="H88" s="99" t="s">
        <v>1794</v>
      </c>
      <c r="I88" s="99" t="s">
        <v>1795</v>
      </c>
      <c r="J88" s="99" t="s">
        <v>1557</v>
      </c>
      <c r="K88" s="99" t="s">
        <v>1920</v>
      </c>
    </row>
    <row r="89" customFormat="false" ht="20.85" hidden="false" customHeight="false" outlineLevel="0" collapsed="false">
      <c r="A89" s="99" t="n">
        <v>86</v>
      </c>
      <c r="B89" s="99" t="s">
        <v>273</v>
      </c>
      <c r="C89" s="99" t="s">
        <v>262</v>
      </c>
      <c r="D89" s="99" t="s">
        <v>1551</v>
      </c>
      <c r="E89" s="99" t="s">
        <v>1689</v>
      </c>
      <c r="F89" s="99" t="s">
        <v>1574</v>
      </c>
      <c r="G89" s="99" t="s">
        <v>1895</v>
      </c>
      <c r="H89" s="99" t="s">
        <v>1921</v>
      </c>
      <c r="I89" s="99" t="s">
        <v>1787</v>
      </c>
      <c r="J89" s="99" t="s">
        <v>1557</v>
      </c>
      <c r="K89" s="99" t="s">
        <v>1922</v>
      </c>
    </row>
    <row r="90" customFormat="false" ht="20.85" hidden="false" customHeight="false" outlineLevel="0" collapsed="false">
      <c r="A90" s="99" t="n">
        <v>87</v>
      </c>
      <c r="B90" s="99" t="s">
        <v>275</v>
      </c>
      <c r="C90" s="99" t="s">
        <v>262</v>
      </c>
      <c r="D90" s="99" t="s">
        <v>1551</v>
      </c>
      <c r="E90" s="99" t="s">
        <v>1689</v>
      </c>
      <c r="F90" s="99" t="s">
        <v>1923</v>
      </c>
      <c r="G90" s="99" t="s">
        <v>1924</v>
      </c>
      <c r="H90" s="99" t="s">
        <v>1759</v>
      </c>
      <c r="I90" s="99" t="s">
        <v>1901</v>
      </c>
      <c r="J90" s="99" t="s">
        <v>1732</v>
      </c>
      <c r="K90" s="99" t="s">
        <v>1925</v>
      </c>
    </row>
    <row r="91" customFormat="false" ht="20.85" hidden="false" customHeight="false" outlineLevel="0" collapsed="false">
      <c r="A91" s="99" t="n">
        <v>88</v>
      </c>
      <c r="B91" s="99" t="s">
        <v>277</v>
      </c>
      <c r="C91" s="99" t="s">
        <v>262</v>
      </c>
      <c r="D91" s="99" t="s">
        <v>1551</v>
      </c>
      <c r="E91" s="99" t="s">
        <v>1717</v>
      </c>
      <c r="F91" s="99" t="s">
        <v>1926</v>
      </c>
      <c r="G91" s="99" t="s">
        <v>1927</v>
      </c>
      <c r="H91" s="99" t="s">
        <v>1751</v>
      </c>
      <c r="I91" s="99" t="s">
        <v>1804</v>
      </c>
      <c r="J91" s="99" t="s">
        <v>1732</v>
      </c>
      <c r="K91" s="99" t="s">
        <v>1928</v>
      </c>
    </row>
    <row r="92" customFormat="false" ht="20.85" hidden="false" customHeight="false" outlineLevel="0" collapsed="false">
      <c r="A92" s="99" t="n">
        <v>89</v>
      </c>
      <c r="B92" s="99" t="s">
        <v>279</v>
      </c>
      <c r="C92" s="99" t="s">
        <v>262</v>
      </c>
      <c r="D92" s="99" t="s">
        <v>1551</v>
      </c>
      <c r="E92" s="99" t="s">
        <v>1689</v>
      </c>
      <c r="F92" s="99" t="s">
        <v>1929</v>
      </c>
      <c r="G92" s="99" t="s">
        <v>1930</v>
      </c>
      <c r="H92" s="99" t="s">
        <v>1794</v>
      </c>
      <c r="I92" s="99" t="s">
        <v>1795</v>
      </c>
      <c r="J92" s="99" t="s">
        <v>1557</v>
      </c>
      <c r="K92" s="99" t="s">
        <v>1931</v>
      </c>
    </row>
    <row r="93" customFormat="false" ht="20.85" hidden="false" customHeight="false" outlineLevel="0" collapsed="false">
      <c r="A93" s="99" t="n">
        <v>90</v>
      </c>
      <c r="B93" s="99" t="s">
        <v>280</v>
      </c>
      <c r="C93" s="99" t="s">
        <v>262</v>
      </c>
      <c r="D93" s="99" t="s">
        <v>1551</v>
      </c>
      <c r="E93" s="99" t="s">
        <v>1717</v>
      </c>
      <c r="F93" s="99" t="s">
        <v>1932</v>
      </c>
      <c r="G93" s="99" t="s">
        <v>1933</v>
      </c>
      <c r="H93" s="99" t="s">
        <v>1799</v>
      </c>
      <c r="I93" s="99" t="s">
        <v>1826</v>
      </c>
      <c r="J93" s="99" t="s">
        <v>1732</v>
      </c>
      <c r="K93" s="99" t="s">
        <v>1934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2026-04-07T06:40:11Z</dcterms:created>
  <dc:creator>openpyxl</dc:creator>
  <dc:description/>
  <dc:language>en-US</dc:language>
  <cp:lastModifiedBy/>
  <dcterms:modified xsi:type="dcterms:W3CDTF">2026-04-08T06:17:51Z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